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2"/>
  <workbookPr defaultThemeVersion="124226"/>
  <mc:AlternateContent xmlns:mc="http://schemas.openxmlformats.org/markup-compatibility/2006">
    <mc:Choice Requires="x15">
      <x15ac:absPath xmlns:x15ac="http://schemas.microsoft.com/office/spreadsheetml/2010/11/ac" url="/Users/jl15471/IdeaProjects/library/library/src/files/"/>
    </mc:Choice>
  </mc:AlternateContent>
  <xr:revisionPtr revIDLastSave="0" documentId="13_ncr:1_{2F474596-D85E-9043-BE95-7DC517811D89}" xr6:coauthVersionLast="36" xr6:coauthVersionMax="36" xr10:uidLastSave="{00000000-0000-0000-0000-000000000000}"/>
  <bookViews>
    <workbookView xWindow="0" yWindow="0" windowWidth="35840" windowHeight="22400" activeTab="1" xr2:uid="{00000000-000D-0000-FFFF-FFFF00000000}"/>
  </bookViews>
  <sheets>
    <sheet name="Compatibility Report" sheetId="4" state="hidden" r:id="rId1"/>
    <sheet name="2022-2023" sheetId="23" r:id="rId2"/>
  </sheets>
  <calcPr calcId="181029"/>
</workbook>
</file>

<file path=xl/calcChain.xml><?xml version="1.0" encoding="utf-8"?>
<calcChain xmlns="http://schemas.openxmlformats.org/spreadsheetml/2006/main">
  <c r="C59" i="23" l="1"/>
  <c r="C75" i="23" l="1"/>
  <c r="C119" i="23" l="1"/>
  <c r="C15" i="23" l="1"/>
  <c r="C52" i="23" l="1"/>
  <c r="C34" i="23"/>
  <c r="C78" i="23" l="1"/>
  <c r="C83" i="23"/>
  <c r="C114" i="23"/>
  <c r="C74" i="23"/>
  <c r="C72" i="23" l="1"/>
  <c r="C42" i="23"/>
  <c r="C113" i="23"/>
  <c r="C70" i="23" l="1"/>
  <c r="C129" i="23"/>
  <c r="C29" i="23" l="1"/>
  <c r="C117" i="23" l="1"/>
  <c r="C90" i="23" l="1"/>
  <c r="C157" i="23"/>
  <c r="C158" i="23"/>
  <c r="C156" i="23"/>
  <c r="C155" i="23"/>
  <c r="C154" i="23"/>
  <c r="C122" i="23"/>
  <c r="C19" i="23" l="1"/>
  <c r="C116" i="23" l="1"/>
  <c r="C61" i="23"/>
  <c r="C147" i="23" l="1"/>
  <c r="C24" i="23" l="1"/>
  <c r="C17" i="23" l="1"/>
  <c r="C53" i="23" l="1"/>
  <c r="C112" i="23"/>
  <c r="C110" i="23"/>
  <c r="C115" i="23" l="1"/>
  <c r="C40" i="23" l="1"/>
  <c r="C16" i="23"/>
  <c r="C136" i="23" l="1"/>
  <c r="C44" i="23" l="1"/>
  <c r="C22" i="23"/>
  <c r="C118" i="23" l="1"/>
  <c r="C108" i="23" l="1"/>
  <c r="C140" i="23" l="1"/>
  <c r="C133" i="23" l="1"/>
  <c r="C27" i="23" l="1"/>
  <c r="C58" i="23" l="1"/>
  <c r="C148" i="23" l="1"/>
  <c r="C126" i="23" l="1"/>
  <c r="C55" i="23" l="1"/>
  <c r="C10" i="23"/>
  <c r="C66" i="23"/>
  <c r="C77" i="23" l="1"/>
  <c r="C67" i="23" l="1"/>
  <c r="C81" i="23"/>
  <c r="C111" i="23" l="1"/>
  <c r="C137" i="23"/>
  <c r="C142" i="23"/>
  <c r="C76" i="23" l="1"/>
  <c r="C49" i="23" l="1"/>
  <c r="C25" i="23" l="1"/>
  <c r="C14" i="23"/>
  <c r="C62" i="23" l="1"/>
  <c r="C57" i="23" l="1"/>
  <c r="C153" i="23"/>
  <c r="C152" i="23"/>
  <c r="C151" i="23"/>
  <c r="C150" i="23"/>
  <c r="C149" i="23"/>
  <c r="C138" i="23"/>
  <c r="C109" i="23"/>
  <c r="C82" i="23"/>
  <c r="C71" i="23"/>
  <c r="C68" i="23"/>
  <c r="C56" i="23"/>
  <c r="C35" i="23"/>
  <c r="C33" i="23"/>
  <c r="C20" i="23"/>
  <c r="C13" i="23"/>
  <c r="C11" i="23" l="1"/>
  <c r="C84" i="23" l="1"/>
  <c r="C54" i="23"/>
  <c r="C143" i="23" l="1"/>
  <c r="C145" i="23" l="1"/>
  <c r="C73" i="23"/>
  <c r="C146" i="23"/>
  <c r="C39" i="23" l="1"/>
  <c r="C46" i="23" l="1"/>
  <c r="C32" i="23" l="1"/>
  <c r="C107" i="23" l="1"/>
  <c r="C60" i="23" l="1"/>
  <c r="C43" i="23" l="1"/>
  <c r="C63" i="23" l="1"/>
  <c r="C89" i="23" l="1"/>
  <c r="C51" i="23" l="1"/>
  <c r="C18" i="23"/>
  <c r="C85" i="23"/>
  <c r="C36" i="23" l="1"/>
  <c r="C144" i="23"/>
  <c r="C135" i="23" l="1"/>
  <c r="C134" i="23"/>
  <c r="C121" i="23" l="1"/>
  <c r="C41" i="23" l="1"/>
  <c r="C50" i="23"/>
  <c r="C141" i="23" l="1"/>
  <c r="C80" i="23" l="1"/>
  <c r="C69" i="23" l="1"/>
  <c r="C139" i="23" l="1"/>
  <c r="C130" i="23"/>
  <c r="C123" i="23"/>
  <c r="C120" i="23"/>
  <c r="C104" i="23"/>
  <c r="C103" i="23"/>
  <c r="C102" i="23"/>
  <c r="C101" i="23"/>
  <c r="C100" i="23"/>
  <c r="C99" i="23"/>
  <c r="C98" i="23"/>
  <c r="C97" i="23"/>
  <c r="C96" i="23"/>
  <c r="C95" i="23"/>
  <c r="C94" i="23"/>
  <c r="C93" i="23"/>
  <c r="C88" i="23"/>
  <c r="C79" i="23"/>
  <c r="C45" i="23"/>
  <c r="C31" i="23"/>
  <c r="C30" i="23"/>
  <c r="C28" i="23"/>
  <c r="C26" i="23"/>
  <c r="C23" i="23"/>
  <c r="C21" i="23"/>
  <c r="C12" i="23"/>
  <c r="C9" i="23"/>
  <c r="C8" i="23"/>
</calcChain>
</file>

<file path=xl/sharedStrings.xml><?xml version="1.0" encoding="utf-8"?>
<sst xmlns="http://schemas.openxmlformats.org/spreadsheetml/2006/main" count="274" uniqueCount="239">
  <si>
    <t>Total FY</t>
  </si>
  <si>
    <t>Jan</t>
  </si>
  <si>
    <t>Mar</t>
  </si>
  <si>
    <t>Apr</t>
  </si>
  <si>
    <t>May</t>
  </si>
  <si>
    <t>Jun</t>
  </si>
  <si>
    <t>First Name</t>
  </si>
  <si>
    <t>Kaiser</t>
  </si>
  <si>
    <t>Karen</t>
  </si>
  <si>
    <t>Compatibility Report for Volunteer Log 2008-2009.xls</t>
  </si>
  <si>
    <t>Run on 11/12/2008 10:14</t>
  </si>
  <si>
    <t>The following features in this workbook are not supported by earlier versions of Excel. These features may be lost or degraded when you save this workbook in an earlier file format.</t>
  </si>
  <si>
    <t>Minor loss of fidelity</t>
  </si>
  <si>
    <t># of occurrences</t>
  </si>
  <si>
    <t>Some cells or styles in this workbook contain formatting that is not supported by the selected file format. These formats will be converted to the closest format available.</t>
  </si>
  <si>
    <t>Reinhart</t>
  </si>
  <si>
    <t>Judy</t>
  </si>
  <si>
    <t>Shobe</t>
  </si>
  <si>
    <t>Stan</t>
  </si>
  <si>
    <t>Isom</t>
  </si>
  <si>
    <t>Jonathan</t>
  </si>
  <si>
    <t>Sancken</t>
  </si>
  <si>
    <t>Lynne</t>
  </si>
  <si>
    <t>Audrieth</t>
  </si>
  <si>
    <t>Louise</t>
  </si>
  <si>
    <t>Anderson</t>
  </si>
  <si>
    <t>Ruth</t>
  </si>
  <si>
    <t>Flood</t>
  </si>
  <si>
    <t>Jean</t>
  </si>
  <si>
    <t>Betsy</t>
  </si>
  <si>
    <t>Mary</t>
  </si>
  <si>
    <t>Fisher</t>
  </si>
  <si>
    <t>Jason</t>
  </si>
  <si>
    <t>Osborne</t>
  </si>
  <si>
    <t>Margery</t>
  </si>
  <si>
    <t>Church</t>
  </si>
  <si>
    <t>Jo</t>
  </si>
  <si>
    <t>Johnson</t>
  </si>
  <si>
    <t>Steve</t>
  </si>
  <si>
    <t>Sheila</t>
  </si>
  <si>
    <t>Pirkle</t>
  </si>
  <si>
    <t>Lauren</t>
  </si>
  <si>
    <t>McMillen</t>
  </si>
  <si>
    <t>Peterson</t>
  </si>
  <si>
    <t>Sharon</t>
  </si>
  <si>
    <t>Patricia</t>
  </si>
  <si>
    <t>O'Daniell</t>
  </si>
  <si>
    <t>Robert</t>
  </si>
  <si>
    <t>Lacey</t>
  </si>
  <si>
    <t>Wong</t>
  </si>
  <si>
    <t>Gaye</t>
  </si>
  <si>
    <t>Alex</t>
  </si>
  <si>
    <t>Kim</t>
  </si>
  <si>
    <t>Tyler</t>
  </si>
  <si>
    <t>Hoerner</t>
  </si>
  <si>
    <t>Kuchinke</t>
  </si>
  <si>
    <t>Susan</t>
  </si>
  <si>
    <t>Underhill</t>
  </si>
  <si>
    <t>Fred</t>
  </si>
  <si>
    <t>Weber</t>
  </si>
  <si>
    <t>Andrea</t>
  </si>
  <si>
    <t>Wimmer</t>
  </si>
  <si>
    <t>Bracken</t>
  </si>
  <si>
    <t>Macmanus</t>
  </si>
  <si>
    <t>Melissa</t>
  </si>
  <si>
    <t>Schuster</t>
  </si>
  <si>
    <t>LaNita</t>
  </si>
  <si>
    <t>Lipton</t>
  </si>
  <si>
    <t>Mark</t>
  </si>
  <si>
    <t>Liu</t>
  </si>
  <si>
    <t>Yangyang</t>
  </si>
  <si>
    <t>Richard</t>
  </si>
  <si>
    <t>Friedman</t>
  </si>
  <si>
    <t>Reed</t>
  </si>
  <si>
    <t>Chen</t>
  </si>
  <si>
    <t>Garg</t>
  </si>
  <si>
    <t>Bryan</t>
  </si>
  <si>
    <t>Emily</t>
  </si>
  <si>
    <t>Sam</t>
  </si>
  <si>
    <t>Christine</t>
  </si>
  <si>
    <t>Devin</t>
  </si>
  <si>
    <t>Joseph</t>
  </si>
  <si>
    <t>Welch</t>
  </si>
  <si>
    <t>Kwon</t>
  </si>
  <si>
    <t>Li</t>
  </si>
  <si>
    <t>Sarah</t>
  </si>
  <si>
    <t>Justin</t>
  </si>
  <si>
    <t>Kumar</t>
  </si>
  <si>
    <t>Julia</t>
  </si>
  <si>
    <t>Christina</t>
  </si>
  <si>
    <t>Frank</t>
  </si>
  <si>
    <t>Hall</t>
  </si>
  <si>
    <t>Valerie</t>
  </si>
  <si>
    <t>Megan</t>
  </si>
  <si>
    <t>Tam</t>
  </si>
  <si>
    <t>Molly</t>
  </si>
  <si>
    <t>Stewart</t>
  </si>
  <si>
    <t>Tran</t>
  </si>
  <si>
    <t>Stone</t>
  </si>
  <si>
    <t>Riley</t>
  </si>
  <si>
    <t>Perez</t>
  </si>
  <si>
    <t>Perry</t>
  </si>
  <si>
    <t>Maya</t>
  </si>
  <si>
    <t>Will</t>
  </si>
  <si>
    <t>Ella</t>
  </si>
  <si>
    <t>Frost</t>
  </si>
  <si>
    <t>Elena</t>
  </si>
  <si>
    <t>Hoang</t>
  </si>
  <si>
    <t>Venda</t>
  </si>
  <si>
    <t>Jane</t>
  </si>
  <si>
    <t>Penny</t>
  </si>
  <si>
    <t>Favila</t>
  </si>
  <si>
    <t>Hartter</t>
  </si>
  <si>
    <t>Merritt</t>
  </si>
  <si>
    <t>Diana</t>
  </si>
  <si>
    <t>Allyson</t>
  </si>
  <si>
    <t>Jim</t>
  </si>
  <si>
    <t>Shari</t>
  </si>
  <si>
    <t>Surheyao</t>
  </si>
  <si>
    <t>Ehlinger</t>
  </si>
  <si>
    <t>Sally</t>
  </si>
  <si>
    <t>Ley</t>
  </si>
  <si>
    <t>APO Group</t>
  </si>
  <si>
    <t>AED Group</t>
  </si>
  <si>
    <t>Borger</t>
  </si>
  <si>
    <t>Juliana</t>
  </si>
  <si>
    <t>Niccolls</t>
  </si>
  <si>
    <t>Xiao</t>
  </si>
  <si>
    <t>Fiona</t>
  </si>
  <si>
    <t>Vrtikapa</t>
  </si>
  <si>
    <t>Katarina</t>
  </si>
  <si>
    <t>Suhani</t>
  </si>
  <si>
    <t>Avelis</t>
  </si>
  <si>
    <t xml:space="preserve">American Medical Women’s Association </t>
  </si>
  <si>
    <t>Vinanzaca</t>
  </si>
  <si>
    <t>U of I REACT Outreach</t>
  </si>
  <si>
    <t>Valera-Castro</t>
  </si>
  <si>
    <t>Tessa</t>
  </si>
  <si>
    <t xml:space="preserve">Geometry Lab </t>
  </si>
  <si>
    <t xml:space="preserve">U of I WIN (Women in Nuclear) </t>
  </si>
  <si>
    <t>Eldrick</t>
  </si>
  <si>
    <t xml:space="preserve">Serna </t>
  </si>
  <si>
    <t>Kautzer</t>
  </si>
  <si>
    <t xml:space="preserve">Susie (Susan) </t>
  </si>
  <si>
    <t>Ried</t>
  </si>
  <si>
    <t>Genevieve (Gen)</t>
  </si>
  <si>
    <t>Elizabeth (Ann)</t>
  </si>
  <si>
    <t>Mosher</t>
  </si>
  <si>
    <t>Ohhyun</t>
  </si>
  <si>
    <t>Dhana Lakshmi</t>
  </si>
  <si>
    <t>U of I IDEA Lab</t>
  </si>
  <si>
    <t>Alan</t>
  </si>
  <si>
    <t>Hill-Galey</t>
  </si>
  <si>
    <t>Brianne</t>
  </si>
  <si>
    <t>Jensen</t>
  </si>
  <si>
    <t>Lela</t>
  </si>
  <si>
    <t>Cornell</t>
  </si>
  <si>
    <t>Fulce</t>
  </si>
  <si>
    <t>Takashe</t>
  </si>
  <si>
    <t>Drake</t>
  </si>
  <si>
    <t>Woodrich</t>
  </si>
  <si>
    <t>Hayley</t>
  </si>
  <si>
    <t>Hornsby</t>
  </si>
  <si>
    <t>Vassos</t>
  </si>
  <si>
    <t>Sayasane</t>
  </si>
  <si>
    <t>Widra</t>
  </si>
  <si>
    <t>Elmi</t>
  </si>
  <si>
    <t>Roxana</t>
  </si>
  <si>
    <t>Klose</t>
  </si>
  <si>
    <t>Fay</t>
  </si>
  <si>
    <t>Akrie</t>
  </si>
  <si>
    <t>Jelena</t>
  </si>
  <si>
    <t>Miltz</t>
  </si>
  <si>
    <t>Ava</t>
  </si>
  <si>
    <t>James (Jiduk)</t>
  </si>
  <si>
    <t>Simonovic</t>
  </si>
  <si>
    <t>Asta</t>
  </si>
  <si>
    <t>Abbasi</t>
  </si>
  <si>
    <t>Ayesha</t>
  </si>
  <si>
    <t>Poola</t>
  </si>
  <si>
    <t>Chandana</t>
  </si>
  <si>
    <t>Chartrand</t>
  </si>
  <si>
    <t>Reyes</t>
  </si>
  <si>
    <t>Ariadna</t>
  </si>
  <si>
    <t>Keyani</t>
  </si>
  <si>
    <t>Cierra</t>
  </si>
  <si>
    <t>Jaskula</t>
  </si>
  <si>
    <t>Periyasamy</t>
  </si>
  <si>
    <t>Veni</t>
  </si>
  <si>
    <t xml:space="preserve">Sandeep </t>
  </si>
  <si>
    <t>U of I WECE (Women in Electrical and Computer Engineering)</t>
  </si>
  <si>
    <t>Jones</t>
  </si>
  <si>
    <t>Gaby</t>
  </si>
  <si>
    <t>Dodoo</t>
  </si>
  <si>
    <t>Feilen</t>
  </si>
  <si>
    <t>Phi Gamma Nu Faternity</t>
  </si>
  <si>
    <t>LaSonia</t>
  </si>
  <si>
    <t>Sumanth</t>
  </si>
  <si>
    <t>U of I Women's Basketball</t>
  </si>
  <si>
    <t>Hack 4 Impact</t>
  </si>
  <si>
    <t>Finiak</t>
  </si>
  <si>
    <t>Keel</t>
  </si>
  <si>
    <t>Orion</t>
  </si>
  <si>
    <t>Tafalla</t>
  </si>
  <si>
    <t>Amari</t>
  </si>
  <si>
    <t xml:space="preserve">U of I Prancing Pears </t>
  </si>
  <si>
    <t xml:space="preserve">U of I Bc Philanthropy </t>
  </si>
  <si>
    <t xml:space="preserve">U of I Prancing Pearls Dance Club </t>
  </si>
  <si>
    <t xml:space="preserve">U of I Phi Delta Epsilon Fraternity </t>
  </si>
  <si>
    <t xml:space="preserve">U of I Inspire Kits </t>
  </si>
  <si>
    <t>Polite</t>
  </si>
  <si>
    <t>Aaliyah</t>
  </si>
  <si>
    <t>Kapadia</t>
  </si>
  <si>
    <t>Janaki</t>
  </si>
  <si>
    <t>Martinez Mora</t>
  </si>
  <si>
    <t>Josue</t>
  </si>
  <si>
    <t>Sallah</t>
  </si>
  <si>
    <t>Aminah</t>
  </si>
  <si>
    <t>Wilkins</t>
  </si>
  <si>
    <t>Indigo</t>
  </si>
  <si>
    <t>Kedzierski</t>
  </si>
  <si>
    <t>Haley</t>
  </si>
  <si>
    <t>Vu</t>
  </si>
  <si>
    <t>Karl</t>
  </si>
  <si>
    <t>Tso</t>
  </si>
  <si>
    <t>Irika</t>
  </si>
  <si>
    <t>Pejkovic</t>
  </si>
  <si>
    <t>T - Volunteer Log March 2023 to June 2023</t>
  </si>
  <si>
    <t>C - Last Name</t>
  </si>
  <si>
    <t>D - Access Services</t>
  </si>
  <si>
    <t>D - Adult Services - Office &amp; Programs</t>
  </si>
  <si>
    <t>D - Adult Services - Computer &amp; Technology</t>
  </si>
  <si>
    <t>D - Children's Services</t>
  </si>
  <si>
    <t>D - Douglass Branch Library</t>
  </si>
  <si>
    <t>D - Home Delivery Services</t>
  </si>
  <si>
    <t>D - Maintenance</t>
  </si>
  <si>
    <t>D - Promotions</t>
  </si>
  <si>
    <t>D - Technical Services</t>
  </si>
  <si>
    <t>D - Teen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</si>
</sst>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0"/>
      <name val="Arial"/>
    </font>
    <font>
      <b/>
      <sz val="10"/>
      <name val="Arial"/>
      <family val="2"/>
    </font>
    <font>
      <b/>
      <i/>
      <sz val="10"/>
      <name val="Arial"/>
      <family val="2"/>
    </font>
    <font>
      <sz val="10"/>
      <name val="Arial"/>
      <family val="2"/>
    </font>
    <font>
      <b/>
      <sz val="10"/>
      <name val="Arial"/>
      <family val="2"/>
    </font>
    <font>
      <sz val="8"/>
      <name val="Arial"/>
      <family val="2"/>
    </font>
    <font>
      <sz val="10"/>
      <color rgb="FFFF0000"/>
      <name val="Arial"/>
      <family val="2"/>
    </font>
  </fonts>
  <fills count="2">
    <fill>
      <patternFill patternType="none"/>
    </fill>
    <fill>
      <patternFill patternType="gray125"/>
    </fill>
  </fills>
  <borders count="4">
    <border>
      <left/>
      <right/>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s>
  <cellStyleXfs count="2">
    <xf numFmtId="0" fontId="0" fillId="0" borderId="0"/>
    <xf numFmtId="0" fontId="3" fillId="0" borderId="0"/>
  </cellStyleXfs>
  <cellXfs count="32">
    <xf numFmtId="0" fontId="0" fillId="0" borderId="0" xfId="0"/>
    <xf numFmtId="0" fontId="1" fillId="0" borderId="0" xfId="0" applyFont="1" applyFill="1"/>
    <xf numFmtId="0" fontId="1" fillId="0" borderId="0" xfId="0" applyFont="1" applyFill="1" applyAlignment="1">
      <alignment horizontal="center"/>
    </xf>
    <xf numFmtId="17" fontId="4" fillId="0" borderId="0" xfId="0" applyNumberFormat="1" applyFont="1" applyAlignment="1">
      <alignment vertical="top" wrapText="1"/>
    </xf>
    <xf numFmtId="0" fontId="4" fillId="0" borderId="0" xfId="0" applyFont="1" applyAlignment="1">
      <alignment vertical="top" wrapText="1"/>
    </xf>
    <xf numFmtId="0" fontId="0" fillId="0" borderId="0" xfId="0" applyAlignment="1">
      <alignment vertical="top" wrapText="1"/>
    </xf>
    <xf numFmtId="17" fontId="0" fillId="0" borderId="0" xfId="0" applyNumberFormat="1" applyAlignment="1">
      <alignment vertical="top" wrapText="1"/>
    </xf>
    <xf numFmtId="17" fontId="0" fillId="0" borderId="1" xfId="0" applyNumberFormat="1" applyBorder="1" applyAlignment="1">
      <alignment vertical="top" wrapText="1"/>
    </xf>
    <xf numFmtId="0" fontId="0" fillId="0" borderId="2" xfId="0" applyBorder="1" applyAlignment="1">
      <alignment vertical="top" wrapText="1"/>
    </xf>
    <xf numFmtId="0" fontId="4" fillId="0" borderId="0" xfId="0" applyFont="1" applyAlignment="1">
      <alignment horizontal="center" vertical="top" wrapText="1"/>
    </xf>
    <xf numFmtId="0" fontId="0" fillId="0" borderId="0" xfId="0" applyAlignment="1">
      <alignment horizontal="center" vertical="top" wrapText="1"/>
    </xf>
    <xf numFmtId="17" fontId="4" fillId="0" borderId="0" xfId="0" applyNumberFormat="1" applyFont="1"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1" fillId="0" borderId="0" xfId="0" applyFont="1" applyFill="1" applyAlignment="1">
      <alignment horizontal="right"/>
    </xf>
    <xf numFmtId="0" fontId="3" fillId="0" borderId="0" xfId="0" applyFont="1" applyFill="1" applyBorder="1"/>
    <xf numFmtId="0" fontId="3" fillId="0" borderId="0" xfId="0" applyFont="1"/>
    <xf numFmtId="0" fontId="3" fillId="0" borderId="0" xfId="0" applyNumberFormat="1" applyFont="1" applyFill="1" applyAlignment="1">
      <alignment horizontal="right"/>
    </xf>
    <xf numFmtId="0" fontId="2" fillId="0" borderId="0" xfId="0" applyFont="1" applyFill="1"/>
    <xf numFmtId="0" fontId="6" fillId="0" borderId="0" xfId="0" applyFont="1" applyFill="1"/>
    <xf numFmtId="0" fontId="0" fillId="0" borderId="0" xfId="0" applyFill="1" applyAlignment="1">
      <alignment horizontal="center"/>
    </xf>
    <xf numFmtId="0" fontId="0" fillId="0" borderId="0" xfId="0" applyFill="1"/>
    <xf numFmtId="0" fontId="3" fillId="0" borderId="0" xfId="0" applyFont="1" applyFill="1" applyAlignment="1">
      <alignment horizontal="right"/>
    </xf>
    <xf numFmtId="0" fontId="3" fillId="0" borderId="0" xfId="0" applyFont="1" applyFill="1"/>
    <xf numFmtId="0" fontId="3" fillId="0" borderId="0" xfId="1" applyFont="1" applyFill="1"/>
    <xf numFmtId="0" fontId="6" fillId="0" borderId="0" xfId="0" applyNumberFormat="1" applyFont="1" applyFill="1" applyAlignment="1">
      <alignment horizontal="right"/>
    </xf>
    <xf numFmtId="0" fontId="6" fillId="0" borderId="0" xfId="0" applyFont="1" applyFill="1" applyAlignment="1">
      <alignment horizontal="right"/>
    </xf>
    <xf numFmtId="0" fontId="6" fillId="0" borderId="0" xfId="0" applyFont="1" applyFill="1" applyAlignment="1">
      <alignment horizontal="left"/>
    </xf>
    <xf numFmtId="0" fontId="6" fillId="0" borderId="0" xfId="0" applyFont="1" applyFill="1" applyBorder="1"/>
    <xf numFmtId="164" fontId="3" fillId="0" borderId="0" xfId="0" applyNumberFormat="1" applyFont="1" applyFill="1" applyAlignment="1">
      <alignment horizontal="right"/>
    </xf>
    <xf numFmtId="0" fontId="0" fillId="0" borderId="0" xfId="0" applyFill="1" applyBorder="1"/>
    <xf numFmtId="0" fontId="3" fillId="0" borderId="0" xfId="0" applyFont="1" applyFill="1" applyBorder="1" applyAlignment="1">
      <alignment horizontal="right"/>
    </xf>
  </cellXfs>
  <cellStyles count="2">
    <cellStyle name="Normal" xfId="0" builtinId="0"/>
    <cellStyle name="Normal 2" xfId="1" xr:uid="{00000000-0005-0000-0000-000001000000}"/>
  </cellStyles>
  <dxfs count="0"/>
  <tableStyles count="0" defaultTableStyle="TableStyleMedium9" defaultPivotStyle="PivotStyleLight16"/>
  <colors>
    <mruColors>
      <color rgb="FFFFFF99"/>
      <color rgb="FFCCFFCC"/>
      <color rgb="FF0000FF"/>
      <color rgb="FFFFFF66"/>
      <color rgb="FFFF99FF"/>
      <color rgb="FFFFCCFF"/>
      <color rgb="FFCC99FF"/>
      <color rgb="FFCC00FF"/>
      <color rgb="FFC5D9F1"/>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10"/>
  <sheetViews>
    <sheetView showGridLines="0" workbookViewId="0">
      <selection activeCell="I8" sqref="I8"/>
    </sheetView>
  </sheetViews>
  <sheetFormatPr baseColWidth="10" defaultColWidth="8.83203125" defaultRowHeight="13" x14ac:dyDescent="0.15"/>
  <cols>
    <col min="1" max="1" width="1.1640625" customWidth="1"/>
    <col min="2" max="2" width="64.5" customWidth="1"/>
    <col min="3" max="3" width="1.5" customWidth="1"/>
    <col min="4" max="4" width="5.5" customWidth="1"/>
    <col min="5" max="5" width="16" customWidth="1"/>
  </cols>
  <sheetData>
    <row r="1" spans="2:5" ht="14" x14ac:dyDescent="0.15">
      <c r="B1" s="3" t="s">
        <v>9</v>
      </c>
      <c r="C1" s="4"/>
      <c r="D1" s="9"/>
      <c r="E1" s="9"/>
    </row>
    <row r="2" spans="2:5" ht="14" x14ac:dyDescent="0.15">
      <c r="B2" s="3" t="s">
        <v>10</v>
      </c>
      <c r="C2" s="4"/>
      <c r="D2" s="9"/>
      <c r="E2" s="9"/>
    </row>
    <row r="3" spans="2:5" x14ac:dyDescent="0.15">
      <c r="B3" s="5"/>
      <c r="C3" s="5"/>
      <c r="D3" s="10"/>
      <c r="E3" s="10"/>
    </row>
    <row r="4" spans="2:5" ht="42" x14ac:dyDescent="0.15">
      <c r="B4" s="6" t="s">
        <v>11</v>
      </c>
      <c r="C4" s="5"/>
      <c r="D4" s="10"/>
      <c r="E4" s="10"/>
    </row>
    <row r="5" spans="2:5" x14ac:dyDescent="0.15">
      <c r="B5" s="5"/>
      <c r="C5" s="5"/>
      <c r="D5" s="10"/>
      <c r="E5" s="10"/>
    </row>
    <row r="6" spans="2:5" ht="14" x14ac:dyDescent="0.15">
      <c r="B6" s="3" t="s">
        <v>12</v>
      </c>
      <c r="C6" s="4"/>
      <c r="D6" s="9"/>
      <c r="E6" s="11" t="s">
        <v>13</v>
      </c>
    </row>
    <row r="7" spans="2:5" ht="14" thickBot="1" x14ac:dyDescent="0.2">
      <c r="B7" s="5"/>
      <c r="C7" s="5"/>
      <c r="D7" s="10"/>
      <c r="E7" s="10"/>
    </row>
    <row r="8" spans="2:5" ht="43" thickBot="1" x14ac:dyDescent="0.2">
      <c r="B8" s="7" t="s">
        <v>14</v>
      </c>
      <c r="C8" s="8"/>
      <c r="D8" s="12"/>
      <c r="E8" s="13">
        <v>21</v>
      </c>
    </row>
    <row r="9" spans="2:5" x14ac:dyDescent="0.15">
      <c r="B9" s="5"/>
      <c r="C9" s="5"/>
      <c r="D9" s="10"/>
      <c r="E9" s="10"/>
    </row>
    <row r="10" spans="2:5" x14ac:dyDescent="0.15">
      <c r="B10" s="5"/>
      <c r="C10" s="5"/>
      <c r="D10" s="10"/>
      <c r="E10" s="10"/>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9"/>
  <sheetViews>
    <sheetView tabSelected="1" zoomScale="110" zoomScaleNormal="110" workbookViewId="0">
      <pane xSplit="2" ySplit="5" topLeftCell="C123" activePane="bottomRight" state="frozen"/>
      <selection pane="topRight" activeCell="C1" sqref="C1"/>
      <selection pane="bottomLeft" activeCell="A7" sqref="A7"/>
      <selection pane="bottomRight" activeCell="G135" sqref="G135"/>
    </sheetView>
  </sheetViews>
  <sheetFormatPr baseColWidth="10" defaultColWidth="8.83203125" defaultRowHeight="13" x14ac:dyDescent="0.15"/>
  <cols>
    <col min="1" max="1" width="17.5" style="16" customWidth="1"/>
    <col min="2" max="2" width="27" style="16" customWidth="1"/>
    <col min="3" max="7" width="9.1640625" style="16"/>
  </cols>
  <sheetData>
    <row r="1" spans="1:7" s="21" customFormat="1" x14ac:dyDescent="0.15">
      <c r="A1" s="23"/>
      <c r="B1" s="23"/>
      <c r="C1" s="23"/>
      <c r="D1" s="23"/>
      <c r="E1" s="23"/>
      <c r="F1" s="23"/>
      <c r="G1" s="23"/>
    </row>
    <row r="2" spans="1:7" s="21" customFormat="1" ht="17.75" customHeight="1" x14ac:dyDescent="0.15">
      <c r="A2" s="1" t="s">
        <v>227</v>
      </c>
      <c r="B2" s="1"/>
      <c r="C2" s="23"/>
      <c r="D2" s="23"/>
      <c r="E2" s="23"/>
      <c r="F2" s="23"/>
      <c r="G2" s="23"/>
    </row>
    <row r="3" spans="1:7" s="21" customFormat="1" x14ac:dyDescent="0.15">
      <c r="A3" s="23"/>
      <c r="B3" s="23"/>
      <c r="C3" s="23"/>
      <c r="D3" s="23"/>
      <c r="E3" s="23"/>
      <c r="F3" s="23"/>
      <c r="G3" s="23"/>
    </row>
    <row r="4" spans="1:7" s="20" customFormat="1" x14ac:dyDescent="0.15">
      <c r="A4" s="2" t="s">
        <v>228</v>
      </c>
      <c r="B4" s="2" t="s">
        <v>6</v>
      </c>
      <c r="C4" s="2" t="s">
        <v>0</v>
      </c>
      <c r="D4" s="2" t="s">
        <v>2</v>
      </c>
      <c r="E4" s="2" t="s">
        <v>3</v>
      </c>
      <c r="F4" s="2" t="s">
        <v>4</v>
      </c>
      <c r="G4" s="2" t="s">
        <v>5</v>
      </c>
    </row>
    <row r="5" spans="1:7" s="21" customFormat="1" x14ac:dyDescent="0.15">
      <c r="A5" s="1"/>
      <c r="B5" s="1"/>
      <c r="C5" s="14"/>
      <c r="D5" s="14"/>
      <c r="E5" s="14"/>
      <c r="F5" s="14"/>
      <c r="G5" s="14"/>
    </row>
    <row r="6" spans="1:7" s="21" customFormat="1" ht="12.75" customHeight="1" x14ac:dyDescent="0.15">
      <c r="A6" s="18"/>
      <c r="B6" s="18"/>
      <c r="C6" s="23"/>
      <c r="D6" s="17"/>
      <c r="E6" s="17"/>
      <c r="F6" s="17"/>
      <c r="G6" s="17"/>
    </row>
    <row r="7" spans="1:7" s="23" customFormat="1" ht="12.75" customHeight="1" x14ac:dyDescent="0.15">
      <c r="A7" s="18" t="s">
        <v>229</v>
      </c>
      <c r="B7" s="18"/>
    </row>
    <row r="8" spans="1:7" s="23" customFormat="1" ht="12.75" customHeight="1" x14ac:dyDescent="0.15">
      <c r="A8" s="23" t="s">
        <v>25</v>
      </c>
      <c r="B8" s="23" t="s">
        <v>26</v>
      </c>
      <c r="C8" s="23">
        <f t="shared" ref="C8:C36" si="0">SUM(D8:G8)</f>
        <v>29.5</v>
      </c>
      <c r="D8" s="23">
        <v>8.25</v>
      </c>
      <c r="E8" s="23">
        <v>7.75</v>
      </c>
      <c r="F8" s="23">
        <v>6</v>
      </c>
      <c r="G8" s="22">
        <v>7.5</v>
      </c>
    </row>
    <row r="9" spans="1:7" s="21" customFormat="1" ht="11.25" customHeight="1" x14ac:dyDescent="0.15">
      <c r="A9" s="23" t="s">
        <v>23</v>
      </c>
      <c r="B9" s="23" t="s">
        <v>24</v>
      </c>
      <c r="C9" s="23">
        <f t="shared" si="0"/>
        <v>72.25</v>
      </c>
      <c r="D9" s="23">
        <v>22.25</v>
      </c>
      <c r="E9" s="23">
        <v>17.5</v>
      </c>
      <c r="F9" s="23">
        <v>22.5</v>
      </c>
      <c r="G9" s="22">
        <v>10</v>
      </c>
    </row>
    <row r="10" spans="1:7" s="23" customFormat="1" ht="12.75" customHeight="1" x14ac:dyDescent="0.15">
      <c r="A10" s="23" t="s">
        <v>181</v>
      </c>
      <c r="B10" s="23" t="s">
        <v>95</v>
      </c>
      <c r="C10" s="23">
        <f t="shared" si="0"/>
        <v>21.75</v>
      </c>
      <c r="D10" s="23">
        <v>3.5</v>
      </c>
      <c r="E10" s="23">
        <v>8.25</v>
      </c>
      <c r="F10" s="23">
        <v>6</v>
      </c>
      <c r="G10" s="22">
        <v>4</v>
      </c>
    </row>
    <row r="11" spans="1:7" s="21" customFormat="1" ht="10.5" customHeight="1" x14ac:dyDescent="0.15">
      <c r="A11" s="23" t="s">
        <v>74</v>
      </c>
      <c r="B11" s="23" t="s">
        <v>151</v>
      </c>
      <c r="C11" s="23">
        <f t="shared" si="0"/>
        <v>18</v>
      </c>
      <c r="D11" s="23">
        <v>6</v>
      </c>
      <c r="E11" s="23">
        <v>10</v>
      </c>
      <c r="F11" s="23">
        <v>2</v>
      </c>
      <c r="G11" s="22"/>
    </row>
    <row r="12" spans="1:7" s="21" customFormat="1" ht="12.75" customHeight="1" x14ac:dyDescent="0.15">
      <c r="A12" s="23" t="s">
        <v>35</v>
      </c>
      <c r="B12" s="23" t="s">
        <v>36</v>
      </c>
      <c r="C12" s="23">
        <f t="shared" si="0"/>
        <v>78.75</v>
      </c>
      <c r="D12" s="23">
        <v>14</v>
      </c>
      <c r="E12" s="23">
        <v>19.75</v>
      </c>
      <c r="F12" s="23">
        <v>28</v>
      </c>
      <c r="G12" s="22">
        <v>17</v>
      </c>
    </row>
    <row r="13" spans="1:7" s="21" customFormat="1" ht="12.75" customHeight="1" x14ac:dyDescent="0.15">
      <c r="A13" s="23" t="s">
        <v>156</v>
      </c>
      <c r="B13" s="23" t="s">
        <v>30</v>
      </c>
      <c r="C13" s="23">
        <f t="shared" si="0"/>
        <v>4</v>
      </c>
      <c r="D13" s="23">
        <v>4</v>
      </c>
      <c r="E13" s="23"/>
      <c r="F13" s="23"/>
      <c r="G13" s="22"/>
    </row>
    <row r="14" spans="1:7" s="23" customFormat="1" ht="12.75" customHeight="1" x14ac:dyDescent="0.15">
      <c r="A14" s="23" t="s">
        <v>166</v>
      </c>
      <c r="B14" s="23" t="s">
        <v>167</v>
      </c>
      <c r="C14" s="23">
        <f t="shared" si="0"/>
        <v>20.75</v>
      </c>
      <c r="D14" s="23">
        <v>11.25</v>
      </c>
      <c r="E14" s="23">
        <v>5.75</v>
      </c>
      <c r="F14" s="23">
        <v>3.75</v>
      </c>
      <c r="G14" s="22"/>
    </row>
    <row r="15" spans="1:7" s="23" customFormat="1" ht="12.75" customHeight="1" x14ac:dyDescent="0.15">
      <c r="A15" s="23" t="s">
        <v>111</v>
      </c>
      <c r="B15" s="23" t="s">
        <v>102</v>
      </c>
      <c r="C15" s="23">
        <f t="shared" si="0"/>
        <v>4</v>
      </c>
      <c r="D15" s="22"/>
      <c r="E15" s="22"/>
      <c r="F15" s="22"/>
      <c r="G15" s="22">
        <v>4</v>
      </c>
    </row>
    <row r="16" spans="1:7" s="21" customFormat="1" ht="12.75" customHeight="1" x14ac:dyDescent="0.15">
      <c r="A16" s="23" t="s">
        <v>194</v>
      </c>
      <c r="B16" s="23" t="s">
        <v>109</v>
      </c>
      <c r="C16" s="23">
        <f t="shared" si="0"/>
        <v>29.25</v>
      </c>
      <c r="D16" s="23">
        <v>2</v>
      </c>
      <c r="E16" s="23">
        <v>8</v>
      </c>
      <c r="F16" s="23">
        <v>8.25</v>
      </c>
      <c r="G16" s="22">
        <v>11</v>
      </c>
    </row>
    <row r="17" spans="1:7" s="21" customFormat="1" ht="12.75" customHeight="1" x14ac:dyDescent="0.15">
      <c r="A17" s="23" t="s">
        <v>200</v>
      </c>
      <c r="B17" s="23" t="s">
        <v>51</v>
      </c>
      <c r="C17" s="23">
        <f t="shared" si="0"/>
        <v>10.25</v>
      </c>
      <c r="D17" s="23"/>
      <c r="E17" s="23">
        <v>4</v>
      </c>
      <c r="F17" s="23">
        <v>6.25</v>
      </c>
      <c r="G17" s="22"/>
    </row>
    <row r="18" spans="1:7" s="21" customFormat="1" ht="12.75" customHeight="1" x14ac:dyDescent="0.15">
      <c r="A18" s="23" t="s">
        <v>75</v>
      </c>
      <c r="B18" s="23" t="s">
        <v>131</v>
      </c>
      <c r="C18" s="23">
        <f t="shared" si="0"/>
        <v>6</v>
      </c>
      <c r="D18" s="23"/>
      <c r="E18" s="23"/>
      <c r="F18" s="23"/>
      <c r="G18" s="22">
        <v>6</v>
      </c>
    </row>
    <row r="19" spans="1:7" s="21" customFormat="1" ht="12.75" customHeight="1" x14ac:dyDescent="0.15">
      <c r="A19" s="23" t="s">
        <v>107</v>
      </c>
      <c r="B19" s="23" t="s">
        <v>106</v>
      </c>
      <c r="C19" s="23">
        <f t="shared" si="0"/>
        <v>10</v>
      </c>
      <c r="D19" s="23"/>
      <c r="E19" s="23"/>
      <c r="F19" s="23">
        <v>6</v>
      </c>
      <c r="G19" s="22">
        <v>4</v>
      </c>
    </row>
    <row r="20" spans="1:7" s="21" customFormat="1" ht="12.75" customHeight="1" x14ac:dyDescent="0.15">
      <c r="A20" s="23" t="s">
        <v>162</v>
      </c>
      <c r="B20" s="23" t="s">
        <v>80</v>
      </c>
      <c r="C20" s="23">
        <f t="shared" si="0"/>
        <v>5</v>
      </c>
      <c r="D20" s="23">
        <v>5</v>
      </c>
      <c r="E20" s="23"/>
      <c r="F20" s="23"/>
      <c r="G20" s="22"/>
    </row>
    <row r="21" spans="1:7" s="23" customFormat="1" ht="12.75" customHeight="1" x14ac:dyDescent="0.15">
      <c r="A21" s="23" t="s">
        <v>37</v>
      </c>
      <c r="B21" s="23" t="s">
        <v>38</v>
      </c>
      <c r="C21" s="23">
        <f t="shared" si="0"/>
        <v>35</v>
      </c>
      <c r="D21" s="22">
        <v>8.25</v>
      </c>
      <c r="E21" s="22">
        <v>10</v>
      </c>
      <c r="F21" s="22">
        <v>8.5</v>
      </c>
      <c r="G21" s="22">
        <v>8.25</v>
      </c>
    </row>
    <row r="22" spans="1:7" s="23" customFormat="1" ht="12.75" customHeight="1" x14ac:dyDescent="0.15">
      <c r="A22" s="23" t="s">
        <v>191</v>
      </c>
      <c r="B22" s="23" t="s">
        <v>99</v>
      </c>
      <c r="C22" s="23">
        <f t="shared" si="0"/>
        <v>12</v>
      </c>
      <c r="D22" s="22">
        <v>6</v>
      </c>
      <c r="E22" s="22">
        <v>6</v>
      </c>
      <c r="F22" s="22"/>
      <c r="G22" s="22"/>
    </row>
    <row r="23" spans="1:7" s="21" customFormat="1" ht="13.5" customHeight="1" x14ac:dyDescent="0.15">
      <c r="A23" s="23" t="s">
        <v>7</v>
      </c>
      <c r="B23" s="23" t="s">
        <v>8</v>
      </c>
      <c r="C23" s="23">
        <f t="shared" si="0"/>
        <v>68</v>
      </c>
      <c r="D23" s="23">
        <v>18</v>
      </c>
      <c r="E23" s="23">
        <v>14</v>
      </c>
      <c r="F23" s="23">
        <v>20</v>
      </c>
      <c r="G23" s="22">
        <v>16</v>
      </c>
    </row>
    <row r="24" spans="1:7" s="21" customFormat="1" ht="13.5" customHeight="1" x14ac:dyDescent="0.15">
      <c r="A24" s="23" t="s">
        <v>201</v>
      </c>
      <c r="B24" s="23" t="s">
        <v>202</v>
      </c>
      <c r="C24" s="23">
        <f t="shared" si="0"/>
        <v>18</v>
      </c>
      <c r="D24" s="23"/>
      <c r="E24" s="23">
        <v>4</v>
      </c>
      <c r="F24" s="23">
        <v>6</v>
      </c>
      <c r="G24" s="22">
        <v>8</v>
      </c>
    </row>
    <row r="25" spans="1:7" s="21" customFormat="1" ht="13.5" customHeight="1" x14ac:dyDescent="0.15">
      <c r="A25" s="23" t="s">
        <v>168</v>
      </c>
      <c r="B25" s="23" t="s">
        <v>77</v>
      </c>
      <c r="C25" s="23">
        <f t="shared" si="0"/>
        <v>2</v>
      </c>
      <c r="D25" s="23">
        <v>2</v>
      </c>
      <c r="E25" s="23"/>
      <c r="F25" s="23"/>
      <c r="G25" s="22"/>
    </row>
    <row r="26" spans="1:7" s="23" customFormat="1" ht="12.75" customHeight="1" x14ac:dyDescent="0.15">
      <c r="A26" s="23" t="s">
        <v>33</v>
      </c>
      <c r="B26" s="23" t="s">
        <v>34</v>
      </c>
      <c r="C26" s="23">
        <f t="shared" si="0"/>
        <v>33</v>
      </c>
      <c r="D26" s="22">
        <v>6</v>
      </c>
      <c r="E26" s="22">
        <v>9</v>
      </c>
      <c r="F26" s="22">
        <v>12</v>
      </c>
      <c r="G26" s="22">
        <v>6</v>
      </c>
    </row>
    <row r="27" spans="1:7" s="23" customFormat="1" ht="12.75" customHeight="1" x14ac:dyDescent="0.15">
      <c r="A27" s="23" t="s">
        <v>187</v>
      </c>
      <c r="B27" s="23" t="s">
        <v>188</v>
      </c>
      <c r="C27" s="23">
        <f t="shared" si="0"/>
        <v>14.95</v>
      </c>
      <c r="D27" s="22">
        <v>6</v>
      </c>
      <c r="E27" s="22">
        <v>7.5</v>
      </c>
      <c r="F27" s="22">
        <v>1.45</v>
      </c>
      <c r="G27" s="22"/>
    </row>
    <row r="28" spans="1:7" s="23" customFormat="1" x14ac:dyDescent="0.15">
      <c r="A28" s="23" t="s">
        <v>40</v>
      </c>
      <c r="B28" s="23" t="s">
        <v>41</v>
      </c>
      <c r="C28" s="23">
        <f t="shared" si="0"/>
        <v>97.5</v>
      </c>
      <c r="D28" s="22">
        <v>37</v>
      </c>
      <c r="E28" s="22">
        <v>21.5</v>
      </c>
      <c r="F28" s="22">
        <v>19.5</v>
      </c>
      <c r="G28" s="22">
        <v>19.5</v>
      </c>
    </row>
    <row r="29" spans="1:7" s="23" customFormat="1" x14ac:dyDescent="0.15">
      <c r="A29" s="23" t="s">
        <v>210</v>
      </c>
      <c r="B29" s="23" t="s">
        <v>211</v>
      </c>
      <c r="C29" s="23">
        <f t="shared" si="0"/>
        <v>6</v>
      </c>
      <c r="D29" s="22"/>
      <c r="E29" s="22"/>
      <c r="F29" s="22">
        <v>2</v>
      </c>
      <c r="G29" s="22">
        <v>4</v>
      </c>
    </row>
    <row r="30" spans="1:7" s="21" customFormat="1" ht="12.75" customHeight="1" x14ac:dyDescent="0.15">
      <c r="A30" s="23" t="s">
        <v>17</v>
      </c>
      <c r="B30" s="23" t="s">
        <v>18</v>
      </c>
      <c r="C30" s="23">
        <f t="shared" si="0"/>
        <v>30.25</v>
      </c>
      <c r="D30" s="22">
        <v>8.5</v>
      </c>
      <c r="E30" s="22">
        <v>6.25</v>
      </c>
      <c r="F30" s="22">
        <v>7.25</v>
      </c>
      <c r="G30" s="22">
        <v>8.25</v>
      </c>
    </row>
    <row r="31" spans="1:7" s="21" customFormat="1" ht="12.75" customHeight="1" x14ac:dyDescent="0.15">
      <c r="A31" s="23" t="s">
        <v>57</v>
      </c>
      <c r="B31" s="23" t="s">
        <v>58</v>
      </c>
      <c r="C31" s="23">
        <f t="shared" si="0"/>
        <v>34.25</v>
      </c>
      <c r="D31" s="22">
        <v>8</v>
      </c>
      <c r="E31" s="22">
        <v>8</v>
      </c>
      <c r="F31" s="22">
        <v>10.25</v>
      </c>
      <c r="G31" s="22">
        <v>8</v>
      </c>
    </row>
    <row r="32" spans="1:7" s="21" customFormat="1" ht="12.75" customHeight="1" x14ac:dyDescent="0.15">
      <c r="A32" s="23" t="s">
        <v>136</v>
      </c>
      <c r="B32" s="23" t="s">
        <v>137</v>
      </c>
      <c r="C32" s="23">
        <f t="shared" si="0"/>
        <v>22</v>
      </c>
      <c r="D32" s="22">
        <v>8</v>
      </c>
      <c r="E32" s="22">
        <v>6</v>
      </c>
      <c r="F32" s="22">
        <v>6</v>
      </c>
      <c r="G32" s="22">
        <v>2</v>
      </c>
    </row>
    <row r="33" spans="1:7" s="21" customFormat="1" ht="12.75" customHeight="1" x14ac:dyDescent="0.15">
      <c r="A33" s="23" t="s">
        <v>163</v>
      </c>
      <c r="B33" s="23" t="s">
        <v>32</v>
      </c>
      <c r="C33" s="23">
        <f t="shared" si="0"/>
        <v>27</v>
      </c>
      <c r="D33" s="22">
        <v>10</v>
      </c>
      <c r="E33" s="22">
        <v>9</v>
      </c>
      <c r="F33" s="22">
        <v>4</v>
      </c>
      <c r="G33" s="22">
        <v>4</v>
      </c>
    </row>
    <row r="34" spans="1:7" s="21" customFormat="1" ht="12.75" customHeight="1" x14ac:dyDescent="0.15">
      <c r="A34" s="23" t="s">
        <v>218</v>
      </c>
      <c r="B34" s="23" t="s">
        <v>219</v>
      </c>
      <c r="C34" s="23">
        <f t="shared" si="0"/>
        <v>2</v>
      </c>
      <c r="D34" s="22"/>
      <c r="E34" s="22"/>
      <c r="F34" s="22"/>
      <c r="G34" s="22">
        <v>2</v>
      </c>
    </row>
    <row r="35" spans="1:7" s="23" customFormat="1" ht="12.75" customHeight="1" x14ac:dyDescent="0.15">
      <c r="A35" s="23" t="s">
        <v>160</v>
      </c>
      <c r="B35" s="23" t="s">
        <v>161</v>
      </c>
      <c r="C35" s="23">
        <f t="shared" si="0"/>
        <v>5.25</v>
      </c>
      <c r="D35" s="22">
        <v>4.5</v>
      </c>
      <c r="E35" s="22">
        <v>0.75</v>
      </c>
      <c r="F35" s="22"/>
      <c r="G35" s="22"/>
    </row>
    <row r="36" spans="1:7" s="23" customFormat="1" ht="14.25" customHeight="1" x14ac:dyDescent="0.15">
      <c r="A36" s="15" t="s">
        <v>127</v>
      </c>
      <c r="B36" s="15" t="s">
        <v>128</v>
      </c>
      <c r="C36" s="23">
        <f t="shared" si="0"/>
        <v>20</v>
      </c>
      <c r="D36" s="22">
        <v>8</v>
      </c>
      <c r="E36" s="22">
        <v>8</v>
      </c>
      <c r="F36" s="22">
        <v>4</v>
      </c>
      <c r="G36" s="22"/>
    </row>
    <row r="37" spans="1:7" s="21" customFormat="1" ht="14.5" customHeight="1" x14ac:dyDescent="0.15">
      <c r="A37" s="1"/>
      <c r="B37" s="1"/>
      <c r="C37" s="29"/>
      <c r="D37" s="14"/>
      <c r="E37" s="14"/>
      <c r="F37" s="14"/>
      <c r="G37" s="14"/>
    </row>
    <row r="38" spans="1:7" s="21" customFormat="1" x14ac:dyDescent="0.15">
      <c r="A38" s="18" t="s">
        <v>230</v>
      </c>
      <c r="B38" s="18"/>
      <c r="C38" s="14"/>
      <c r="D38" s="14"/>
      <c r="E38" s="14"/>
      <c r="F38" s="14"/>
      <c r="G38" s="14"/>
    </row>
    <row r="39" spans="1:7" s="23" customFormat="1" ht="12.75" customHeight="1" x14ac:dyDescent="0.15">
      <c r="A39" s="23" t="s">
        <v>119</v>
      </c>
      <c r="B39" s="23" t="s">
        <v>78</v>
      </c>
      <c r="C39" s="23">
        <f t="shared" ref="C39:C46" si="1">SUM(D39:G39)</f>
        <v>4</v>
      </c>
      <c r="D39" s="23">
        <v>4</v>
      </c>
    </row>
    <row r="40" spans="1:7" s="21" customFormat="1" ht="12.75" customHeight="1" x14ac:dyDescent="0.15">
      <c r="A40" s="23" t="s">
        <v>194</v>
      </c>
      <c r="B40" s="23" t="s">
        <v>109</v>
      </c>
      <c r="C40" s="23">
        <f t="shared" si="1"/>
        <v>14.5</v>
      </c>
      <c r="D40" s="23">
        <v>2.5</v>
      </c>
      <c r="E40" s="23">
        <v>4.25</v>
      </c>
      <c r="F40" s="23">
        <v>4</v>
      </c>
      <c r="G40" s="22">
        <v>3.75</v>
      </c>
    </row>
    <row r="41" spans="1:7" s="19" customFormat="1" ht="12.75" customHeight="1" x14ac:dyDescent="0.15">
      <c r="A41" s="19" t="s">
        <v>90</v>
      </c>
      <c r="B41" s="19" t="s">
        <v>121</v>
      </c>
      <c r="C41" s="19">
        <f t="shared" si="1"/>
        <v>9</v>
      </c>
      <c r="D41" s="26">
        <v>2.5</v>
      </c>
      <c r="E41" s="26"/>
      <c r="F41" s="26">
        <v>6.5</v>
      </c>
      <c r="G41" s="26"/>
    </row>
    <row r="42" spans="1:7" s="23" customFormat="1" x14ac:dyDescent="0.15">
      <c r="A42" s="23" t="s">
        <v>212</v>
      </c>
      <c r="B42" s="23" t="s">
        <v>213</v>
      </c>
      <c r="C42" s="23">
        <f t="shared" si="1"/>
        <v>3</v>
      </c>
      <c r="D42" s="22"/>
      <c r="E42" s="22"/>
      <c r="F42" s="22"/>
      <c r="G42" s="22">
        <v>3</v>
      </c>
    </row>
    <row r="43" spans="1:7" s="23" customFormat="1" ht="14.25" customHeight="1" x14ac:dyDescent="0.15">
      <c r="A43" s="23" t="s">
        <v>84</v>
      </c>
      <c r="B43" s="23" t="s">
        <v>86</v>
      </c>
      <c r="C43" s="19">
        <f t="shared" si="1"/>
        <v>10</v>
      </c>
      <c r="D43" s="22">
        <v>3</v>
      </c>
      <c r="E43" s="22">
        <v>3</v>
      </c>
      <c r="F43" s="22">
        <v>4</v>
      </c>
      <c r="G43" s="22"/>
    </row>
    <row r="44" spans="1:7" s="23" customFormat="1" ht="12.75" customHeight="1" x14ac:dyDescent="0.15">
      <c r="A44" s="23" t="s">
        <v>96</v>
      </c>
      <c r="B44" s="23" t="s">
        <v>184</v>
      </c>
      <c r="C44" s="23">
        <f t="shared" si="1"/>
        <v>4.5</v>
      </c>
      <c r="D44" s="22">
        <v>4.5</v>
      </c>
      <c r="E44" s="22"/>
      <c r="F44" s="22"/>
      <c r="G44" s="22"/>
    </row>
    <row r="45" spans="1:7" s="21" customFormat="1" ht="12.75" customHeight="1" x14ac:dyDescent="0.15">
      <c r="A45" s="23" t="s">
        <v>59</v>
      </c>
      <c r="B45" s="23" t="s">
        <v>1</v>
      </c>
      <c r="C45" s="23">
        <f t="shared" si="1"/>
        <v>5</v>
      </c>
      <c r="D45" s="23">
        <v>2</v>
      </c>
      <c r="E45" s="23">
        <v>0</v>
      </c>
      <c r="F45" s="23">
        <v>2</v>
      </c>
      <c r="G45" s="22">
        <v>1</v>
      </c>
    </row>
    <row r="46" spans="1:7" s="23" customFormat="1" ht="12.75" customHeight="1" x14ac:dyDescent="0.15">
      <c r="A46" s="23" t="s">
        <v>61</v>
      </c>
      <c r="B46" s="23" t="s">
        <v>62</v>
      </c>
      <c r="C46" s="23">
        <f t="shared" si="1"/>
        <v>4.5</v>
      </c>
      <c r="D46" s="17">
        <v>0</v>
      </c>
      <c r="E46" s="17">
        <v>0</v>
      </c>
      <c r="F46" s="17">
        <v>4.5</v>
      </c>
      <c r="G46" s="17"/>
    </row>
    <row r="47" spans="1:7" s="21" customFormat="1" ht="12.5" customHeight="1" x14ac:dyDescent="0.15">
      <c r="A47" s="18"/>
      <c r="B47" s="18"/>
      <c r="C47" s="17"/>
      <c r="D47" s="22"/>
      <c r="E47" s="22"/>
      <c r="F47" s="22"/>
      <c r="G47" s="22"/>
    </row>
    <row r="48" spans="1:7" s="21" customFormat="1" ht="12.75" customHeight="1" x14ac:dyDescent="0.15">
      <c r="A48" s="18" t="s">
        <v>231</v>
      </c>
      <c r="B48" s="18"/>
      <c r="C48" s="14"/>
      <c r="D48" s="14"/>
      <c r="E48" s="14"/>
      <c r="F48" s="14"/>
      <c r="G48" s="14"/>
    </row>
    <row r="49" spans="1:7" s="23" customFormat="1" ht="12.75" customHeight="1" x14ac:dyDescent="0.15">
      <c r="A49" s="23" t="s">
        <v>169</v>
      </c>
      <c r="B49" s="23" t="s">
        <v>116</v>
      </c>
      <c r="C49" s="23">
        <f t="shared" ref="C49:C63" si="2">SUM(D49:G49)</f>
        <v>6.25</v>
      </c>
      <c r="D49" s="22">
        <v>6.25</v>
      </c>
      <c r="E49" s="22"/>
      <c r="F49" s="22"/>
      <c r="G49" s="22"/>
    </row>
    <row r="50" spans="1:7" s="23" customFormat="1" ht="12.75" customHeight="1" x14ac:dyDescent="0.15">
      <c r="A50" s="23" t="s">
        <v>90</v>
      </c>
      <c r="B50" s="23" t="s">
        <v>121</v>
      </c>
      <c r="C50" s="23">
        <f t="shared" si="2"/>
        <v>29</v>
      </c>
      <c r="D50" s="22">
        <v>8</v>
      </c>
      <c r="E50" s="22">
        <v>6</v>
      </c>
      <c r="F50" s="22">
        <v>6.5</v>
      </c>
      <c r="G50" s="22">
        <v>8.5</v>
      </c>
    </row>
    <row r="51" spans="1:7" s="23" customFormat="1" ht="12.75" customHeight="1" x14ac:dyDescent="0.15">
      <c r="A51" s="23" t="s">
        <v>105</v>
      </c>
      <c r="B51" s="23" t="s">
        <v>64</v>
      </c>
      <c r="C51" s="23">
        <f t="shared" si="2"/>
        <v>10</v>
      </c>
      <c r="D51" s="22">
        <v>2.5</v>
      </c>
      <c r="E51" s="22">
        <v>3</v>
      </c>
      <c r="F51" s="22">
        <v>2</v>
      </c>
      <c r="G51" s="22">
        <v>2.5</v>
      </c>
    </row>
    <row r="52" spans="1:7" s="23" customFormat="1" ht="12.75" customHeight="1" x14ac:dyDescent="0.15">
      <c r="A52" s="23" t="s">
        <v>220</v>
      </c>
      <c r="B52" s="23" t="s">
        <v>221</v>
      </c>
      <c r="C52" s="23">
        <f t="shared" si="2"/>
        <v>9</v>
      </c>
      <c r="D52" s="22"/>
      <c r="E52" s="22"/>
      <c r="F52" s="22"/>
      <c r="G52" s="22">
        <v>9</v>
      </c>
    </row>
    <row r="53" spans="1:7" s="23" customFormat="1" ht="12.75" customHeight="1" x14ac:dyDescent="0.15">
      <c r="A53" s="23" t="s">
        <v>87</v>
      </c>
      <c r="B53" s="23" t="s">
        <v>197</v>
      </c>
      <c r="C53" s="23">
        <f t="shared" si="2"/>
        <v>35</v>
      </c>
      <c r="E53" s="23">
        <v>33</v>
      </c>
      <c r="F53" s="23">
        <v>2</v>
      </c>
    </row>
    <row r="54" spans="1:7" s="23" customFormat="1" ht="12.75" customHeight="1" x14ac:dyDescent="0.15">
      <c r="A54" s="23" t="s">
        <v>83</v>
      </c>
      <c r="B54" s="23" t="s">
        <v>148</v>
      </c>
      <c r="C54" s="23">
        <f t="shared" si="2"/>
        <v>20</v>
      </c>
      <c r="D54" s="22">
        <v>4</v>
      </c>
      <c r="E54" s="22">
        <v>8</v>
      </c>
      <c r="F54" s="22">
        <v>2</v>
      </c>
      <c r="G54" s="22">
        <v>6</v>
      </c>
    </row>
    <row r="55" spans="1:7" s="30" customFormat="1" ht="12.5" customHeight="1" x14ac:dyDescent="0.15">
      <c r="A55" s="23" t="s">
        <v>182</v>
      </c>
      <c r="B55" s="23" t="s">
        <v>183</v>
      </c>
      <c r="C55" s="23">
        <f t="shared" si="2"/>
        <v>20.25</v>
      </c>
      <c r="D55" s="22">
        <v>6.25</v>
      </c>
      <c r="E55" s="22">
        <v>14</v>
      </c>
      <c r="F55" s="22"/>
      <c r="G55" s="22"/>
    </row>
    <row r="56" spans="1:7" s="23" customFormat="1" ht="12.75" customHeight="1" x14ac:dyDescent="0.15">
      <c r="A56" s="23" t="s">
        <v>164</v>
      </c>
      <c r="B56" s="23" t="s">
        <v>115</v>
      </c>
      <c r="C56" s="23">
        <f t="shared" si="2"/>
        <v>16</v>
      </c>
      <c r="D56" s="22">
        <v>8</v>
      </c>
      <c r="E56" s="22">
        <v>6</v>
      </c>
      <c r="F56" s="22">
        <v>2</v>
      </c>
      <c r="G56" s="22"/>
    </row>
    <row r="57" spans="1:7" s="23" customFormat="1" ht="12.75" customHeight="1" x14ac:dyDescent="0.15">
      <c r="A57" s="23" t="s">
        <v>141</v>
      </c>
      <c r="B57" s="23" t="s">
        <v>60</v>
      </c>
      <c r="C57" s="23">
        <f t="shared" si="2"/>
        <v>4.5</v>
      </c>
      <c r="D57" s="22">
        <v>3</v>
      </c>
      <c r="E57" s="22">
        <v>1.5</v>
      </c>
      <c r="F57" s="22"/>
      <c r="G57" s="22"/>
    </row>
    <row r="58" spans="1:7" s="23" customFormat="1" ht="13.75" customHeight="1" x14ac:dyDescent="0.15">
      <c r="A58" s="23" t="s">
        <v>118</v>
      </c>
      <c r="B58" s="23" t="s">
        <v>140</v>
      </c>
      <c r="C58" s="23">
        <f t="shared" si="2"/>
        <v>19.5</v>
      </c>
      <c r="D58" s="22">
        <v>5.75</v>
      </c>
      <c r="E58" s="22">
        <v>4</v>
      </c>
      <c r="F58" s="22">
        <v>2.5</v>
      </c>
      <c r="G58" s="22">
        <v>7.25</v>
      </c>
    </row>
    <row r="59" spans="1:7" s="23" customFormat="1" ht="12.75" customHeight="1" x14ac:dyDescent="0.15">
      <c r="A59" s="23" t="s">
        <v>224</v>
      </c>
      <c r="B59" s="23" t="s">
        <v>225</v>
      </c>
      <c r="C59" s="23">
        <f t="shared" si="2"/>
        <v>1</v>
      </c>
      <c r="D59" s="22"/>
      <c r="E59" s="22"/>
      <c r="F59" s="22"/>
      <c r="G59" s="22">
        <v>1</v>
      </c>
    </row>
    <row r="60" spans="1:7" s="23" customFormat="1" ht="12.75" customHeight="1" x14ac:dyDescent="0.15">
      <c r="A60" s="23" t="s">
        <v>134</v>
      </c>
      <c r="B60" s="23" t="s">
        <v>120</v>
      </c>
      <c r="C60" s="23">
        <f t="shared" si="2"/>
        <v>20</v>
      </c>
      <c r="D60" s="22">
        <v>8.5</v>
      </c>
      <c r="E60" s="22">
        <v>5.75</v>
      </c>
      <c r="F60" s="22">
        <v>5.75</v>
      </c>
      <c r="G60" s="22"/>
    </row>
    <row r="61" spans="1:7" s="19" customFormat="1" ht="12.75" customHeight="1" x14ac:dyDescent="0.15">
      <c r="A61" s="19" t="s">
        <v>82</v>
      </c>
      <c r="B61" s="19" t="s">
        <v>185</v>
      </c>
      <c r="C61" s="19">
        <f t="shared" si="2"/>
        <v>1</v>
      </c>
      <c r="D61" s="26">
        <v>1</v>
      </c>
      <c r="E61" s="26"/>
      <c r="F61" s="26"/>
      <c r="G61" s="26"/>
    </row>
    <row r="62" spans="1:7" s="23" customFormat="1" ht="12.75" customHeight="1" x14ac:dyDescent="0.15">
      <c r="A62" s="23" t="s">
        <v>165</v>
      </c>
      <c r="B62" s="23" t="s">
        <v>77</v>
      </c>
      <c r="C62" s="23">
        <f t="shared" si="2"/>
        <v>16.75</v>
      </c>
      <c r="D62" s="22">
        <v>4</v>
      </c>
      <c r="E62" s="22">
        <v>6.75</v>
      </c>
      <c r="F62" s="22">
        <v>4</v>
      </c>
      <c r="G62" s="22">
        <v>2</v>
      </c>
    </row>
    <row r="63" spans="1:7" s="19" customFormat="1" ht="12.75" customHeight="1" x14ac:dyDescent="0.15">
      <c r="A63" s="19" t="s">
        <v>61</v>
      </c>
      <c r="B63" s="19" t="s">
        <v>62</v>
      </c>
      <c r="C63" s="19">
        <f t="shared" si="2"/>
        <v>10.75</v>
      </c>
      <c r="D63" s="25">
        <v>0</v>
      </c>
      <c r="E63" s="25">
        <v>5.5</v>
      </c>
      <c r="F63" s="25"/>
      <c r="G63" s="25">
        <v>5.25</v>
      </c>
    </row>
    <row r="64" spans="1:7" s="21" customFormat="1" ht="12.25" customHeight="1" x14ac:dyDescent="0.15">
      <c r="A64" s="18"/>
      <c r="B64" s="18"/>
      <c r="C64" s="17"/>
      <c r="D64" s="17"/>
      <c r="E64" s="17"/>
      <c r="F64" s="17"/>
      <c r="G64" s="17"/>
    </row>
    <row r="65" spans="1:7" s="23" customFormat="1" ht="12.75" customHeight="1" x14ac:dyDescent="0.15">
      <c r="A65" s="18" t="s">
        <v>232</v>
      </c>
      <c r="B65" s="18"/>
    </row>
    <row r="66" spans="1:7" s="23" customFormat="1" ht="12.75" customHeight="1" x14ac:dyDescent="0.15">
      <c r="A66" s="23" t="s">
        <v>170</v>
      </c>
      <c r="B66" s="23" t="s">
        <v>101</v>
      </c>
      <c r="C66" s="23">
        <f t="shared" ref="C66:C85" si="3">SUM(D66:G66)</f>
        <v>10</v>
      </c>
      <c r="D66" s="23">
        <v>5</v>
      </c>
      <c r="E66" s="23">
        <v>3.5</v>
      </c>
      <c r="F66" s="23">
        <v>1.5</v>
      </c>
      <c r="G66" s="22"/>
    </row>
    <row r="67" spans="1:7" s="23" customFormat="1" ht="12.75" customHeight="1" x14ac:dyDescent="0.15">
      <c r="A67" s="23" t="s">
        <v>132</v>
      </c>
      <c r="B67" s="23" t="s">
        <v>30</v>
      </c>
      <c r="C67" s="23">
        <f t="shared" si="3"/>
        <v>25.5</v>
      </c>
      <c r="D67" s="23">
        <v>7.5</v>
      </c>
      <c r="E67" s="23">
        <v>5.5</v>
      </c>
      <c r="F67" s="23">
        <v>7.25</v>
      </c>
      <c r="G67" s="22">
        <v>5.25</v>
      </c>
    </row>
    <row r="68" spans="1:7" s="23" customFormat="1" ht="12.75" customHeight="1" x14ac:dyDescent="0.15">
      <c r="A68" s="23" t="s">
        <v>157</v>
      </c>
      <c r="B68" s="23" t="s">
        <v>158</v>
      </c>
      <c r="C68" s="23">
        <f t="shared" si="3"/>
        <v>3.25</v>
      </c>
      <c r="D68" s="23">
        <v>2</v>
      </c>
      <c r="E68" s="23">
        <v>1.25</v>
      </c>
      <c r="G68" s="22"/>
    </row>
    <row r="69" spans="1:7" s="23" customFormat="1" x14ac:dyDescent="0.15">
      <c r="A69" s="23" t="s">
        <v>91</v>
      </c>
      <c r="B69" s="23" t="s">
        <v>117</v>
      </c>
      <c r="C69" s="23">
        <f t="shared" si="3"/>
        <v>14</v>
      </c>
      <c r="D69" s="22">
        <v>7</v>
      </c>
      <c r="E69" s="22">
        <v>7</v>
      </c>
      <c r="F69" s="22"/>
      <c r="G69" s="22"/>
    </row>
    <row r="70" spans="1:7" s="23" customFormat="1" x14ac:dyDescent="0.15">
      <c r="A70" s="23" t="s">
        <v>54</v>
      </c>
      <c r="B70" s="23" t="s">
        <v>104</v>
      </c>
      <c r="C70" s="23">
        <f t="shared" si="3"/>
        <v>6</v>
      </c>
      <c r="D70" s="22"/>
      <c r="E70" s="22"/>
      <c r="F70" s="22"/>
      <c r="G70" s="22">
        <v>6</v>
      </c>
    </row>
    <row r="71" spans="1:7" s="23" customFormat="1" ht="12.75" customHeight="1" x14ac:dyDescent="0.15">
      <c r="A71" s="23" t="s">
        <v>154</v>
      </c>
      <c r="B71" s="23" t="s">
        <v>155</v>
      </c>
      <c r="C71" s="23">
        <f t="shared" si="3"/>
        <v>8.5</v>
      </c>
      <c r="D71" s="23">
        <v>3</v>
      </c>
      <c r="E71" s="23">
        <v>1.25</v>
      </c>
      <c r="F71" s="23">
        <v>1.25</v>
      </c>
      <c r="G71" s="22">
        <v>3</v>
      </c>
    </row>
    <row r="72" spans="1:7" s="23" customFormat="1" x14ac:dyDescent="0.15">
      <c r="A72" s="23" t="s">
        <v>212</v>
      </c>
      <c r="B72" s="23" t="s">
        <v>213</v>
      </c>
      <c r="C72" s="23">
        <f t="shared" si="3"/>
        <v>13.25</v>
      </c>
      <c r="D72" s="22"/>
      <c r="E72" s="22"/>
      <c r="F72" s="22">
        <v>1.75</v>
      </c>
      <c r="G72" s="22">
        <v>11.5</v>
      </c>
    </row>
    <row r="73" spans="1:7" s="23" customFormat="1" x14ac:dyDescent="0.15">
      <c r="A73" s="23" t="s">
        <v>142</v>
      </c>
      <c r="B73" s="23" t="s">
        <v>143</v>
      </c>
      <c r="C73" s="23">
        <f t="shared" si="3"/>
        <v>21.75</v>
      </c>
      <c r="D73" s="22">
        <v>5.25</v>
      </c>
      <c r="E73" s="22">
        <v>6.25</v>
      </c>
      <c r="F73" s="22">
        <v>5.25</v>
      </c>
      <c r="G73" s="22">
        <v>5</v>
      </c>
    </row>
    <row r="74" spans="1:7" s="23" customFormat="1" ht="12.25" customHeight="1" x14ac:dyDescent="0.15">
      <c r="A74" s="23" t="s">
        <v>214</v>
      </c>
      <c r="B74" s="23" t="s">
        <v>215</v>
      </c>
      <c r="C74" s="23">
        <f t="shared" si="3"/>
        <v>9.25</v>
      </c>
      <c r="D74" s="22"/>
      <c r="E74" s="22"/>
      <c r="F74" s="22"/>
      <c r="G74" s="22">
        <v>9.25</v>
      </c>
    </row>
    <row r="75" spans="1:7" s="23" customFormat="1" ht="12.25" customHeight="1" x14ac:dyDescent="0.15">
      <c r="A75" s="23" t="s">
        <v>113</v>
      </c>
      <c r="B75" s="23" t="s">
        <v>79</v>
      </c>
      <c r="C75" s="23">
        <f t="shared" si="3"/>
        <v>3.5</v>
      </c>
      <c r="D75" s="22"/>
      <c r="E75" s="22"/>
      <c r="F75" s="22"/>
      <c r="G75" s="22">
        <v>3.5</v>
      </c>
    </row>
    <row r="76" spans="1:7" s="23" customFormat="1" ht="12.25" customHeight="1" x14ac:dyDescent="0.15">
      <c r="A76" s="23" t="s">
        <v>226</v>
      </c>
      <c r="B76" s="23" t="s">
        <v>171</v>
      </c>
      <c r="C76" s="23">
        <f t="shared" si="3"/>
        <v>7.25</v>
      </c>
      <c r="D76" s="22">
        <v>4.5</v>
      </c>
      <c r="E76" s="22">
        <v>1.25</v>
      </c>
      <c r="F76" s="22">
        <v>1.5</v>
      </c>
      <c r="G76" s="22"/>
    </row>
    <row r="77" spans="1:7" s="23" customFormat="1" ht="12.25" customHeight="1" x14ac:dyDescent="0.15">
      <c r="A77" s="23" t="s">
        <v>179</v>
      </c>
      <c r="B77" s="23" t="s">
        <v>180</v>
      </c>
      <c r="C77" s="23">
        <f t="shared" si="3"/>
        <v>14.25</v>
      </c>
      <c r="D77" s="22">
        <v>7.75</v>
      </c>
      <c r="E77" s="22">
        <v>4.5</v>
      </c>
      <c r="F77" s="22">
        <v>2</v>
      </c>
      <c r="G77" s="22"/>
    </row>
    <row r="78" spans="1:7" s="30" customFormat="1" ht="12.5" customHeight="1" x14ac:dyDescent="0.15">
      <c r="A78" s="23" t="s">
        <v>216</v>
      </c>
      <c r="B78" s="23" t="s">
        <v>217</v>
      </c>
      <c r="C78" s="23">
        <f t="shared" si="3"/>
        <v>8.75</v>
      </c>
      <c r="D78" s="22"/>
      <c r="E78" s="22"/>
      <c r="F78" s="22">
        <v>1.75</v>
      </c>
      <c r="G78" s="22">
        <v>7</v>
      </c>
    </row>
    <row r="79" spans="1:7" s="23" customFormat="1" ht="14.25" customHeight="1" x14ac:dyDescent="0.15">
      <c r="A79" s="15" t="s">
        <v>21</v>
      </c>
      <c r="B79" s="15" t="s">
        <v>22</v>
      </c>
      <c r="C79" s="23">
        <f t="shared" si="3"/>
        <v>21.25</v>
      </c>
      <c r="D79" s="22">
        <v>7</v>
      </c>
      <c r="E79" s="22">
        <v>1.75</v>
      </c>
      <c r="F79" s="22">
        <v>7.25</v>
      </c>
      <c r="G79" s="22">
        <v>5.25</v>
      </c>
    </row>
    <row r="80" spans="1:7" s="23" customFormat="1" ht="14.25" customHeight="1" x14ac:dyDescent="0.15">
      <c r="A80" s="15" t="s">
        <v>65</v>
      </c>
      <c r="B80" s="15" t="s">
        <v>66</v>
      </c>
      <c r="C80" s="23">
        <f t="shared" si="3"/>
        <v>7.25</v>
      </c>
      <c r="D80" s="22"/>
      <c r="E80" s="22"/>
      <c r="F80" s="22">
        <v>1.75</v>
      </c>
      <c r="G80" s="22">
        <v>5.5</v>
      </c>
    </row>
    <row r="81" spans="1:7" s="23" customFormat="1" ht="14.25" customHeight="1" x14ac:dyDescent="0.15">
      <c r="A81" s="15" t="s">
        <v>175</v>
      </c>
      <c r="B81" s="15" t="s">
        <v>176</v>
      </c>
      <c r="C81" s="23">
        <f t="shared" si="3"/>
        <v>11</v>
      </c>
      <c r="D81" s="22">
        <v>4.5</v>
      </c>
      <c r="E81" s="22">
        <v>3.5</v>
      </c>
      <c r="F81" s="22">
        <v>1.75</v>
      </c>
      <c r="G81" s="22">
        <v>1.25</v>
      </c>
    </row>
    <row r="82" spans="1:7" s="23" customFormat="1" ht="14.25" customHeight="1" x14ac:dyDescent="0.15">
      <c r="A82" s="15" t="s">
        <v>98</v>
      </c>
      <c r="B82" s="15" t="s">
        <v>153</v>
      </c>
      <c r="C82" s="23">
        <f t="shared" si="3"/>
        <v>2</v>
      </c>
      <c r="D82" s="22">
        <v>0</v>
      </c>
      <c r="E82" s="22">
        <v>2</v>
      </c>
      <c r="F82" s="22"/>
      <c r="G82" s="22"/>
    </row>
    <row r="83" spans="1:7" s="15" customFormat="1" ht="12.25" customHeight="1" x14ac:dyDescent="0.15">
      <c r="A83" s="15" t="s">
        <v>97</v>
      </c>
      <c r="B83" s="15" t="s">
        <v>89</v>
      </c>
      <c r="C83" s="23">
        <f t="shared" si="3"/>
        <v>10.75</v>
      </c>
      <c r="D83" s="31"/>
      <c r="E83" s="31"/>
      <c r="F83" s="31">
        <v>1.75</v>
      </c>
      <c r="G83" s="31">
        <v>9</v>
      </c>
    </row>
    <row r="84" spans="1:7" s="23" customFormat="1" ht="14.25" customHeight="1" x14ac:dyDescent="0.15">
      <c r="A84" s="15" t="s">
        <v>108</v>
      </c>
      <c r="B84" s="15" t="s">
        <v>149</v>
      </c>
      <c r="C84" s="23">
        <f t="shared" si="3"/>
        <v>12.25</v>
      </c>
      <c r="D84" s="22">
        <v>6.25</v>
      </c>
      <c r="E84" s="22">
        <v>6</v>
      </c>
      <c r="F84" s="22"/>
      <c r="G84" s="22"/>
    </row>
    <row r="85" spans="1:7" s="23" customFormat="1" ht="14.25" customHeight="1" x14ac:dyDescent="0.15">
      <c r="A85" s="15" t="s">
        <v>129</v>
      </c>
      <c r="B85" s="15" t="s">
        <v>130</v>
      </c>
      <c r="C85" s="23">
        <f t="shared" si="3"/>
        <v>11</v>
      </c>
      <c r="D85" s="22">
        <v>5</v>
      </c>
      <c r="E85" s="22">
        <v>4.5</v>
      </c>
      <c r="F85" s="22">
        <v>1.5</v>
      </c>
      <c r="G85" s="22"/>
    </row>
    <row r="86" spans="1:7" s="19" customFormat="1" ht="12.25" customHeight="1" x14ac:dyDescent="0.15">
      <c r="A86" s="23"/>
      <c r="B86" s="23"/>
      <c r="C86" s="23"/>
      <c r="D86" s="23"/>
      <c r="E86" s="23"/>
      <c r="F86" s="23"/>
      <c r="G86" s="23"/>
    </row>
    <row r="87" spans="1:7" s="19" customFormat="1" ht="12.25" customHeight="1" x14ac:dyDescent="0.15">
      <c r="A87" s="18" t="s">
        <v>233</v>
      </c>
      <c r="B87" s="18"/>
      <c r="C87" s="23"/>
      <c r="D87" s="23"/>
      <c r="E87" s="23"/>
      <c r="F87" s="23"/>
      <c r="G87" s="23"/>
    </row>
    <row r="88" spans="1:7" s="23" customFormat="1" ht="12.75" customHeight="1" x14ac:dyDescent="0.15">
      <c r="A88" s="23" t="s">
        <v>69</v>
      </c>
      <c r="B88" s="23" t="s">
        <v>70</v>
      </c>
      <c r="C88" s="23">
        <f>SUM(D88:G88)</f>
        <v>0</v>
      </c>
      <c r="D88" s="22"/>
      <c r="E88" s="22"/>
      <c r="F88" s="22"/>
      <c r="G88" s="22"/>
    </row>
    <row r="89" spans="1:7" s="19" customFormat="1" ht="13.5" customHeight="1" x14ac:dyDescent="0.15">
      <c r="A89" s="19" t="s">
        <v>133</v>
      </c>
      <c r="C89" s="19">
        <f>SUM(D89:G89)</f>
        <v>34</v>
      </c>
      <c r="D89" s="26">
        <v>13.5</v>
      </c>
      <c r="E89" s="26">
        <v>17</v>
      </c>
      <c r="F89" s="26">
        <v>3.5</v>
      </c>
      <c r="G89" s="26"/>
    </row>
    <row r="90" spans="1:7" s="19" customFormat="1" ht="12.75" customHeight="1" x14ac:dyDescent="0.15">
      <c r="A90" s="19" t="s">
        <v>209</v>
      </c>
      <c r="C90" s="19">
        <f>SUM(D90:G90)</f>
        <v>9.75</v>
      </c>
      <c r="D90" s="26">
        <v>9.75</v>
      </c>
      <c r="E90" s="26"/>
      <c r="F90" s="26"/>
      <c r="G90" s="26"/>
    </row>
    <row r="91" spans="1:7" s="23" customFormat="1" ht="12.75" customHeight="1" x14ac:dyDescent="0.15">
      <c r="A91" s="18"/>
      <c r="B91" s="18"/>
    </row>
    <row r="92" spans="1:7" s="19" customFormat="1" ht="12.25" customHeight="1" x14ac:dyDescent="0.15">
      <c r="A92" s="18" t="s">
        <v>234</v>
      </c>
      <c r="B92" s="18"/>
      <c r="C92" s="23"/>
      <c r="D92" s="23"/>
      <c r="E92" s="23"/>
      <c r="F92" s="23"/>
      <c r="G92" s="23"/>
    </row>
    <row r="93" spans="1:7" s="19" customFormat="1" ht="12.25" customHeight="1" x14ac:dyDescent="0.15">
      <c r="A93" s="23" t="s">
        <v>25</v>
      </c>
      <c r="B93" s="23" t="s">
        <v>45</v>
      </c>
      <c r="C93" s="23">
        <f t="shared" ref="C93:C104" si="4">SUM(D93:G93)</f>
        <v>6</v>
      </c>
      <c r="D93" s="24">
        <v>1</v>
      </c>
      <c r="E93" s="24">
        <v>1</v>
      </c>
      <c r="F93" s="24">
        <v>2</v>
      </c>
      <c r="G93" s="24">
        <v>2</v>
      </c>
    </row>
    <row r="94" spans="1:7" s="23" customFormat="1" x14ac:dyDescent="0.15">
      <c r="A94" s="23" t="s">
        <v>27</v>
      </c>
      <c r="B94" s="23" t="s">
        <v>28</v>
      </c>
      <c r="C94" s="23">
        <f t="shared" si="4"/>
        <v>7</v>
      </c>
      <c r="D94" s="22">
        <v>1</v>
      </c>
      <c r="E94" s="22">
        <v>2</v>
      </c>
      <c r="F94" s="22">
        <v>2</v>
      </c>
      <c r="G94" s="22">
        <v>2</v>
      </c>
    </row>
    <row r="95" spans="1:7" s="23" customFormat="1" x14ac:dyDescent="0.15">
      <c r="A95" s="23" t="s">
        <v>27</v>
      </c>
      <c r="B95" s="23" t="s">
        <v>71</v>
      </c>
      <c r="C95" s="23">
        <f t="shared" si="4"/>
        <v>7</v>
      </c>
      <c r="D95" s="22">
        <v>1</v>
      </c>
      <c r="E95" s="22">
        <v>2</v>
      </c>
      <c r="F95" s="22">
        <v>2</v>
      </c>
      <c r="G95" s="22">
        <v>2</v>
      </c>
    </row>
    <row r="96" spans="1:7" s="23" customFormat="1" ht="13.75" customHeight="1" x14ac:dyDescent="0.15">
      <c r="A96" s="23" t="s">
        <v>55</v>
      </c>
      <c r="B96" s="23" t="s">
        <v>29</v>
      </c>
      <c r="C96" s="23">
        <f t="shared" si="4"/>
        <v>4</v>
      </c>
      <c r="D96" s="22">
        <v>2</v>
      </c>
      <c r="E96" s="22">
        <v>1</v>
      </c>
      <c r="F96" s="22">
        <v>0</v>
      </c>
      <c r="G96" s="23">
        <v>1</v>
      </c>
    </row>
    <row r="97" spans="1:7" s="23" customFormat="1" ht="13.75" customHeight="1" x14ac:dyDescent="0.15">
      <c r="A97" s="23" t="s">
        <v>48</v>
      </c>
      <c r="B97" s="23" t="s">
        <v>45</v>
      </c>
      <c r="C97" s="23">
        <f t="shared" si="4"/>
        <v>7</v>
      </c>
      <c r="D97" s="22">
        <v>2</v>
      </c>
      <c r="E97" s="22">
        <v>1</v>
      </c>
      <c r="F97" s="22">
        <v>2</v>
      </c>
      <c r="G97" s="23">
        <v>2</v>
      </c>
    </row>
    <row r="98" spans="1:7" s="23" customFormat="1" ht="13.75" customHeight="1" x14ac:dyDescent="0.15">
      <c r="A98" s="23" t="s">
        <v>67</v>
      </c>
      <c r="B98" s="23" t="s">
        <v>68</v>
      </c>
      <c r="C98" s="23">
        <f t="shared" si="4"/>
        <v>4</v>
      </c>
      <c r="D98" s="22">
        <v>2</v>
      </c>
      <c r="E98" s="22">
        <v>0</v>
      </c>
      <c r="F98" s="22">
        <v>1</v>
      </c>
      <c r="G98" s="22">
        <v>1</v>
      </c>
    </row>
    <row r="99" spans="1:7" s="23" customFormat="1" ht="12.75" customHeight="1" x14ac:dyDescent="0.15">
      <c r="A99" s="23" t="s">
        <v>63</v>
      </c>
      <c r="B99" s="23" t="s">
        <v>39</v>
      </c>
      <c r="C99" s="23">
        <f t="shared" si="4"/>
        <v>8</v>
      </c>
      <c r="D99" s="22">
        <v>2</v>
      </c>
      <c r="E99" s="22">
        <v>2</v>
      </c>
      <c r="F99" s="22">
        <v>2</v>
      </c>
      <c r="G99" s="22">
        <v>2</v>
      </c>
    </row>
    <row r="100" spans="1:7" s="23" customFormat="1" ht="13.75" customHeight="1" x14ac:dyDescent="0.15">
      <c r="A100" s="23" t="s">
        <v>42</v>
      </c>
      <c r="B100" s="23" t="s">
        <v>30</v>
      </c>
      <c r="C100" s="23">
        <f t="shared" si="4"/>
        <v>7</v>
      </c>
      <c r="D100" s="22">
        <v>1</v>
      </c>
      <c r="E100" s="22">
        <v>2</v>
      </c>
      <c r="F100" s="22">
        <v>2</v>
      </c>
      <c r="G100" s="22">
        <v>2</v>
      </c>
    </row>
    <row r="101" spans="1:7" s="23" customFormat="1" ht="13.75" customHeight="1" x14ac:dyDescent="0.15">
      <c r="A101" s="23" t="s">
        <v>46</v>
      </c>
      <c r="B101" s="23" t="s">
        <v>47</v>
      </c>
      <c r="C101" s="23">
        <f t="shared" si="4"/>
        <v>6</v>
      </c>
      <c r="D101" s="22">
        <v>2</v>
      </c>
      <c r="E101" s="22">
        <v>1</v>
      </c>
      <c r="F101" s="22">
        <v>2</v>
      </c>
      <c r="G101" s="22">
        <v>1</v>
      </c>
    </row>
    <row r="102" spans="1:7" s="23" customFormat="1" ht="13.75" customHeight="1" x14ac:dyDescent="0.15">
      <c r="A102" s="23" t="s">
        <v>43</v>
      </c>
      <c r="B102" s="23" t="s">
        <v>44</v>
      </c>
      <c r="C102" s="23">
        <f t="shared" si="4"/>
        <v>6</v>
      </c>
      <c r="D102" s="22">
        <v>2</v>
      </c>
      <c r="E102" s="22">
        <v>1</v>
      </c>
      <c r="F102" s="22">
        <v>1</v>
      </c>
      <c r="G102" s="23">
        <v>2</v>
      </c>
    </row>
    <row r="103" spans="1:7" s="23" customFormat="1" ht="12.75" customHeight="1" x14ac:dyDescent="0.15">
      <c r="A103" s="23" t="s">
        <v>15</v>
      </c>
      <c r="B103" s="23" t="s">
        <v>16</v>
      </c>
      <c r="C103" s="23">
        <f t="shared" si="4"/>
        <v>4</v>
      </c>
      <c r="D103" s="22">
        <v>1</v>
      </c>
      <c r="E103" s="22">
        <v>1</v>
      </c>
      <c r="F103" s="22">
        <v>1</v>
      </c>
      <c r="G103" s="22">
        <v>1</v>
      </c>
    </row>
    <row r="104" spans="1:7" s="19" customFormat="1" ht="13.75" customHeight="1" x14ac:dyDescent="0.15">
      <c r="A104" s="23" t="s">
        <v>49</v>
      </c>
      <c r="B104" s="23" t="s">
        <v>50</v>
      </c>
      <c r="C104" s="23">
        <f t="shared" si="4"/>
        <v>2</v>
      </c>
      <c r="D104" s="22">
        <v>1</v>
      </c>
      <c r="E104" s="22">
        <v>1</v>
      </c>
      <c r="F104" s="22"/>
      <c r="G104" s="22">
        <v>0</v>
      </c>
    </row>
    <row r="105" spans="1:7" s="21" customFormat="1" ht="12.75" customHeight="1" x14ac:dyDescent="0.15">
      <c r="A105" s="18"/>
      <c r="B105" s="18"/>
      <c r="C105" s="23"/>
      <c r="D105" s="23"/>
      <c r="E105" s="23"/>
      <c r="F105" s="23"/>
      <c r="G105" s="23"/>
    </row>
    <row r="106" spans="1:7" s="21" customFormat="1" ht="12.75" customHeight="1" x14ac:dyDescent="0.15">
      <c r="A106" s="18" t="s">
        <v>235</v>
      </c>
      <c r="B106" s="23"/>
      <c r="C106" s="23"/>
      <c r="D106" s="22"/>
      <c r="E106" s="22"/>
      <c r="F106" s="22"/>
      <c r="G106" s="22"/>
    </row>
    <row r="107" spans="1:7" s="23" customFormat="1" ht="12.75" customHeight="1" x14ac:dyDescent="0.15">
      <c r="A107" s="23" t="s">
        <v>111</v>
      </c>
      <c r="B107" s="23" t="s">
        <v>102</v>
      </c>
      <c r="C107" s="23">
        <f t="shared" ref="C107:C123" si="5">SUM(D107:G107)</f>
        <v>22</v>
      </c>
      <c r="D107" s="22">
        <v>6</v>
      </c>
      <c r="E107" s="22">
        <v>10</v>
      </c>
      <c r="F107" s="22">
        <v>6</v>
      </c>
      <c r="G107" s="22"/>
    </row>
    <row r="108" spans="1:7" s="23" customFormat="1" ht="12.75" customHeight="1" x14ac:dyDescent="0.15">
      <c r="A108" s="23" t="s">
        <v>75</v>
      </c>
      <c r="B108" s="23" t="s">
        <v>189</v>
      </c>
      <c r="C108" s="23">
        <f t="shared" si="5"/>
        <v>2</v>
      </c>
      <c r="D108" s="22">
        <v>2</v>
      </c>
      <c r="E108" s="22"/>
      <c r="F108" s="22"/>
      <c r="G108" s="22"/>
    </row>
    <row r="109" spans="1:7" s="23" customFormat="1" ht="12.75" customHeight="1" x14ac:dyDescent="0.15">
      <c r="A109" s="23" t="s">
        <v>152</v>
      </c>
      <c r="B109" s="23" t="s">
        <v>92</v>
      </c>
      <c r="C109" s="23">
        <f t="shared" si="5"/>
        <v>8</v>
      </c>
      <c r="D109" s="23">
        <v>0</v>
      </c>
      <c r="E109" s="23">
        <v>4</v>
      </c>
      <c r="F109" s="23">
        <v>4</v>
      </c>
    </row>
    <row r="110" spans="1:7" s="23" customFormat="1" ht="12.75" customHeight="1" x14ac:dyDescent="0.15">
      <c r="A110" s="23" t="s">
        <v>186</v>
      </c>
      <c r="B110" s="23" t="s">
        <v>81</v>
      </c>
      <c r="C110" s="23">
        <f t="shared" si="5"/>
        <v>15</v>
      </c>
      <c r="D110" s="23">
        <v>15</v>
      </c>
      <c r="G110" s="22"/>
    </row>
    <row r="111" spans="1:7" s="23" customFormat="1" ht="12.75" customHeight="1" x14ac:dyDescent="0.15">
      <c r="A111" s="23" t="s">
        <v>52</v>
      </c>
      <c r="B111" s="23" t="s">
        <v>174</v>
      </c>
      <c r="C111" s="23">
        <f t="shared" si="5"/>
        <v>12</v>
      </c>
      <c r="D111" s="23">
        <v>8</v>
      </c>
      <c r="E111" s="23">
        <v>2</v>
      </c>
      <c r="F111" s="23">
        <v>2</v>
      </c>
    </row>
    <row r="112" spans="1:7" s="23" customFormat="1" ht="12.75" customHeight="1" x14ac:dyDescent="0.15">
      <c r="A112" s="23" t="s">
        <v>87</v>
      </c>
      <c r="B112" s="23" t="s">
        <v>197</v>
      </c>
      <c r="C112" s="23">
        <f t="shared" si="5"/>
        <v>8</v>
      </c>
      <c r="E112" s="23">
        <v>8</v>
      </c>
    </row>
    <row r="113" spans="1:7" s="23" customFormat="1" ht="12.25" customHeight="1" x14ac:dyDescent="0.15">
      <c r="A113" s="23" t="s">
        <v>69</v>
      </c>
      <c r="B113" s="23" t="s">
        <v>76</v>
      </c>
      <c r="C113" s="23">
        <f t="shared" si="5"/>
        <v>14</v>
      </c>
      <c r="D113" s="22"/>
      <c r="E113" s="22"/>
      <c r="F113" s="22"/>
      <c r="G113" s="22">
        <v>14</v>
      </c>
    </row>
    <row r="114" spans="1:7" s="23" customFormat="1" ht="12.25" customHeight="1" x14ac:dyDescent="0.15">
      <c r="A114" s="23" t="s">
        <v>214</v>
      </c>
      <c r="B114" s="23" t="s">
        <v>215</v>
      </c>
      <c r="C114" s="23">
        <f t="shared" si="5"/>
        <v>29.5</v>
      </c>
      <c r="D114" s="22"/>
      <c r="E114" s="22"/>
      <c r="F114" s="22">
        <v>11.5</v>
      </c>
      <c r="G114" s="22">
        <v>18</v>
      </c>
    </row>
    <row r="115" spans="1:7" s="21" customFormat="1" ht="12.75" customHeight="1" x14ac:dyDescent="0.15">
      <c r="A115" s="23" t="s">
        <v>100</v>
      </c>
      <c r="B115" s="23" t="s">
        <v>192</v>
      </c>
      <c r="C115" s="23">
        <f t="shared" si="5"/>
        <v>54</v>
      </c>
      <c r="D115" s="23">
        <v>24</v>
      </c>
      <c r="E115" s="23">
        <v>6</v>
      </c>
      <c r="F115" s="23">
        <v>24</v>
      </c>
      <c r="G115" s="23"/>
    </row>
    <row r="116" spans="1:7" s="21" customFormat="1" ht="12.75" customHeight="1" x14ac:dyDescent="0.15">
      <c r="A116" s="23" t="s">
        <v>101</v>
      </c>
      <c r="B116" s="23" t="s">
        <v>204</v>
      </c>
      <c r="C116" s="23">
        <f t="shared" si="5"/>
        <v>20</v>
      </c>
      <c r="D116" s="23"/>
      <c r="E116" s="23"/>
      <c r="F116" s="23">
        <v>20</v>
      </c>
      <c r="G116" s="23"/>
    </row>
    <row r="117" spans="1:7" s="23" customFormat="1" ht="12.25" customHeight="1" x14ac:dyDescent="0.15">
      <c r="A117" s="23" t="s">
        <v>73</v>
      </c>
      <c r="B117" s="23" t="s">
        <v>196</v>
      </c>
      <c r="C117" s="23">
        <f t="shared" si="5"/>
        <v>20</v>
      </c>
      <c r="D117" s="22"/>
      <c r="E117" s="22">
        <v>20</v>
      </c>
      <c r="F117" s="22"/>
      <c r="G117" s="22"/>
    </row>
    <row r="118" spans="1:7" s="15" customFormat="1" ht="12.25" customHeight="1" x14ac:dyDescent="0.15">
      <c r="A118" s="15" t="s">
        <v>94</v>
      </c>
      <c r="B118" s="15" t="s">
        <v>77</v>
      </c>
      <c r="C118" s="23">
        <f t="shared" si="5"/>
        <v>20</v>
      </c>
      <c r="D118" s="31">
        <v>6</v>
      </c>
      <c r="E118" s="31">
        <v>8</v>
      </c>
      <c r="F118" s="31">
        <v>6</v>
      </c>
      <c r="G118" s="31">
        <v>0</v>
      </c>
    </row>
    <row r="119" spans="1:7" s="15" customFormat="1" ht="12.25" customHeight="1" x14ac:dyDescent="0.15">
      <c r="A119" s="15" t="s">
        <v>222</v>
      </c>
      <c r="B119" s="15" t="s">
        <v>223</v>
      </c>
      <c r="C119" s="23">
        <f t="shared" si="5"/>
        <v>4</v>
      </c>
      <c r="D119" s="31"/>
      <c r="E119" s="31"/>
      <c r="F119" s="31"/>
      <c r="G119" s="31">
        <v>4</v>
      </c>
    </row>
    <row r="120" spans="1:7" s="19" customFormat="1" ht="13.5" customHeight="1" x14ac:dyDescent="0.15">
      <c r="A120" s="19" t="s">
        <v>122</v>
      </c>
      <c r="C120" s="19">
        <f t="shared" si="5"/>
        <v>52.5</v>
      </c>
      <c r="D120" s="26">
        <v>26</v>
      </c>
      <c r="E120" s="26">
        <v>26.5</v>
      </c>
      <c r="F120" s="26"/>
      <c r="G120" s="26"/>
    </row>
    <row r="121" spans="1:7" s="19" customFormat="1" ht="13.5" customHeight="1" x14ac:dyDescent="0.15">
      <c r="A121" s="19" t="s">
        <v>123</v>
      </c>
      <c r="C121" s="19">
        <f t="shared" si="5"/>
        <v>44</v>
      </c>
      <c r="D121" s="26">
        <v>8</v>
      </c>
      <c r="E121" s="26">
        <v>36</v>
      </c>
      <c r="F121" s="26"/>
      <c r="G121" s="26"/>
    </row>
    <row r="122" spans="1:7" s="19" customFormat="1" ht="12.75" customHeight="1" x14ac:dyDescent="0.15">
      <c r="A122" s="19" t="s">
        <v>205</v>
      </c>
      <c r="C122" s="19">
        <f t="shared" si="5"/>
        <v>4</v>
      </c>
      <c r="D122" s="26"/>
      <c r="E122" s="26">
        <v>4</v>
      </c>
      <c r="F122" s="26"/>
      <c r="G122" s="26"/>
    </row>
    <row r="123" spans="1:7" s="19" customFormat="1" ht="12.75" customHeight="1" x14ac:dyDescent="0.15">
      <c r="A123" s="19" t="s">
        <v>195</v>
      </c>
      <c r="C123" s="19">
        <f t="shared" si="5"/>
        <v>8</v>
      </c>
      <c r="D123" s="26">
        <v>8</v>
      </c>
      <c r="E123" s="26"/>
      <c r="F123" s="26"/>
      <c r="G123" s="26"/>
    </row>
    <row r="124" spans="1:7" s="21" customFormat="1" ht="12.25" customHeight="1" x14ac:dyDescent="0.15">
      <c r="A124" s="18"/>
      <c r="B124" s="18"/>
      <c r="C124" s="23"/>
      <c r="D124" s="22"/>
      <c r="E124" s="22"/>
      <c r="F124" s="22"/>
      <c r="G124" s="22"/>
    </row>
    <row r="125" spans="1:7" s="21" customFormat="1" ht="12.75" customHeight="1" x14ac:dyDescent="0.15">
      <c r="A125" s="18" t="s">
        <v>236</v>
      </c>
      <c r="B125" s="1"/>
      <c r="C125" s="23"/>
      <c r="D125" s="22"/>
      <c r="E125" s="22"/>
      <c r="F125" s="22"/>
      <c r="G125" s="22"/>
    </row>
    <row r="126" spans="1:7" s="23" customFormat="1" ht="12.75" customHeight="1" x14ac:dyDescent="0.15">
      <c r="A126" s="23" t="s">
        <v>96</v>
      </c>
      <c r="B126" s="23" t="s">
        <v>184</v>
      </c>
      <c r="C126" s="23">
        <f>SUM(D126:G126)</f>
        <v>27.25</v>
      </c>
      <c r="D126" s="22">
        <v>18</v>
      </c>
      <c r="E126" s="22">
        <v>9.25</v>
      </c>
      <c r="F126" s="22"/>
      <c r="G126" s="22">
        <v>0</v>
      </c>
    </row>
    <row r="127" spans="1:7" s="21" customFormat="1" ht="12.75" customHeight="1" x14ac:dyDescent="0.15">
      <c r="A127" s="18"/>
      <c r="B127" s="18"/>
      <c r="C127" s="17"/>
      <c r="D127" s="17"/>
      <c r="E127" s="17"/>
      <c r="F127" s="17"/>
      <c r="G127" s="17"/>
    </row>
    <row r="128" spans="1:7" s="21" customFormat="1" ht="12.75" customHeight="1" x14ac:dyDescent="0.15">
      <c r="A128" s="18" t="s">
        <v>237</v>
      </c>
      <c r="B128" s="23"/>
      <c r="C128" s="23"/>
      <c r="D128" s="23"/>
      <c r="E128" s="23"/>
      <c r="F128" s="23"/>
      <c r="G128" s="23"/>
    </row>
    <row r="129" spans="1:8" s="23" customFormat="1" x14ac:dyDescent="0.15">
      <c r="A129" s="23" t="s">
        <v>54</v>
      </c>
      <c r="B129" s="23" t="s">
        <v>104</v>
      </c>
      <c r="C129" s="23">
        <f>SUM(D129:G129)</f>
        <v>20.25</v>
      </c>
      <c r="D129" s="22"/>
      <c r="E129" s="22"/>
      <c r="F129" s="22"/>
      <c r="G129" s="22">
        <v>20.25</v>
      </c>
    </row>
    <row r="130" spans="1:8" s="21" customFormat="1" ht="12.75" customHeight="1" x14ac:dyDescent="0.15">
      <c r="A130" s="23" t="s">
        <v>19</v>
      </c>
      <c r="B130" s="23" t="s">
        <v>20</v>
      </c>
      <c r="C130" s="23">
        <f>SUM(D130:G130)</f>
        <v>17.5</v>
      </c>
      <c r="D130" s="23">
        <v>5.25</v>
      </c>
      <c r="E130" s="23">
        <v>1.5</v>
      </c>
      <c r="F130" s="23">
        <v>8</v>
      </c>
      <c r="G130" s="23">
        <v>2.75</v>
      </c>
    </row>
    <row r="131" spans="1:8" s="21" customFormat="1" ht="12.75" customHeight="1" x14ac:dyDescent="0.15">
      <c r="A131" s="23"/>
      <c r="B131" s="23"/>
      <c r="C131" s="23"/>
      <c r="D131" s="23"/>
      <c r="E131" s="23"/>
      <c r="F131" s="23"/>
      <c r="G131" s="23"/>
    </row>
    <row r="132" spans="1:8" s="21" customFormat="1" ht="12.75" customHeight="1" x14ac:dyDescent="0.15">
      <c r="A132" s="18" t="s">
        <v>238</v>
      </c>
      <c r="B132" s="23"/>
      <c r="C132" s="23"/>
      <c r="D132" s="23"/>
      <c r="E132" s="23"/>
      <c r="F132" s="23"/>
      <c r="G132" s="23"/>
    </row>
    <row r="133" spans="1:8" s="23" customFormat="1" ht="12.75" customHeight="1" x14ac:dyDescent="0.15">
      <c r="A133" s="23" t="s">
        <v>177</v>
      </c>
      <c r="B133" s="23" t="s">
        <v>178</v>
      </c>
      <c r="C133" s="23">
        <f t="shared" ref="C133:C158" si="6">SUM(D133:G133)</f>
        <v>10</v>
      </c>
      <c r="D133" s="23">
        <v>5</v>
      </c>
      <c r="E133" s="23">
        <v>5</v>
      </c>
      <c r="G133" s="22"/>
    </row>
    <row r="134" spans="1:8" s="21" customFormat="1" ht="12.75" customHeight="1" x14ac:dyDescent="0.15">
      <c r="A134" s="23" t="s">
        <v>124</v>
      </c>
      <c r="B134" s="23" t="s">
        <v>125</v>
      </c>
      <c r="C134" s="23">
        <f t="shared" si="6"/>
        <v>0</v>
      </c>
      <c r="D134" s="23"/>
      <c r="E134" s="23"/>
      <c r="F134" s="23"/>
      <c r="G134" s="23"/>
      <c r="H134" s="23"/>
    </row>
    <row r="135" spans="1:8" s="21" customFormat="1" ht="12.75" customHeight="1" x14ac:dyDescent="0.15">
      <c r="A135" s="23" t="s">
        <v>74</v>
      </c>
      <c r="B135" s="23" t="s">
        <v>110</v>
      </c>
      <c r="C135" s="23">
        <f t="shared" si="6"/>
        <v>2.5</v>
      </c>
      <c r="D135" s="23">
        <v>2.5</v>
      </c>
      <c r="E135" s="23"/>
      <c r="F135" s="23"/>
      <c r="G135" s="23"/>
      <c r="H135" s="23"/>
    </row>
    <row r="136" spans="1:8" s="21" customFormat="1" ht="12.75" customHeight="1" x14ac:dyDescent="0.15">
      <c r="A136" s="23" t="s">
        <v>193</v>
      </c>
      <c r="B136" s="23" t="s">
        <v>85</v>
      </c>
      <c r="C136" s="23">
        <f t="shared" si="6"/>
        <v>5.3</v>
      </c>
      <c r="D136" s="23">
        <v>2.8</v>
      </c>
      <c r="E136" s="23">
        <v>2.5</v>
      </c>
      <c r="F136" s="23"/>
      <c r="G136" s="23"/>
      <c r="H136" s="23"/>
    </row>
    <row r="137" spans="1:8" s="21" customFormat="1" ht="12.75" customHeight="1" x14ac:dyDescent="0.15">
      <c r="A137" s="23" t="s">
        <v>159</v>
      </c>
      <c r="B137" s="23" t="s">
        <v>88</v>
      </c>
      <c r="C137" s="23">
        <f t="shared" si="6"/>
        <v>22.5</v>
      </c>
      <c r="D137" s="23">
        <v>7.5</v>
      </c>
      <c r="E137" s="23">
        <v>10</v>
      </c>
      <c r="F137" s="23">
        <v>5</v>
      </c>
      <c r="G137" s="23"/>
      <c r="H137" s="23"/>
    </row>
    <row r="138" spans="1:8" s="23" customFormat="1" ht="12.75" customHeight="1" x14ac:dyDescent="0.15">
      <c r="A138" s="23" t="s">
        <v>159</v>
      </c>
      <c r="B138" s="23" t="s">
        <v>103</v>
      </c>
      <c r="C138" s="23">
        <f t="shared" si="6"/>
        <v>20</v>
      </c>
      <c r="D138" s="23">
        <v>7.5</v>
      </c>
      <c r="E138" s="23">
        <v>10</v>
      </c>
      <c r="F138" s="23">
        <v>2.5</v>
      </c>
      <c r="G138" s="22"/>
    </row>
    <row r="139" spans="1:8" s="23" customFormat="1" ht="12.25" customHeight="1" x14ac:dyDescent="0.15">
      <c r="A139" s="23" t="s">
        <v>31</v>
      </c>
      <c r="B139" s="23" t="s">
        <v>32</v>
      </c>
      <c r="C139" s="23">
        <f t="shared" si="6"/>
        <v>47.5</v>
      </c>
      <c r="D139" s="23">
        <v>15</v>
      </c>
      <c r="E139" s="23">
        <v>20</v>
      </c>
      <c r="F139" s="23">
        <v>12.5</v>
      </c>
    </row>
    <row r="140" spans="1:8" s="23" customFormat="1" ht="12.25" customHeight="1" x14ac:dyDescent="0.15">
      <c r="A140" s="23" t="s">
        <v>72</v>
      </c>
      <c r="B140" s="23" t="s">
        <v>77</v>
      </c>
      <c r="C140" s="23">
        <f t="shared" si="6"/>
        <v>5</v>
      </c>
      <c r="D140" s="23">
        <v>2.5</v>
      </c>
      <c r="E140" s="23">
        <v>2.5</v>
      </c>
    </row>
    <row r="141" spans="1:8" s="21" customFormat="1" ht="12.75" customHeight="1" x14ac:dyDescent="0.15">
      <c r="A141" s="23" t="s">
        <v>112</v>
      </c>
      <c r="B141" s="23" t="s">
        <v>56</v>
      </c>
      <c r="C141" s="23">
        <f t="shared" si="6"/>
        <v>10</v>
      </c>
      <c r="D141" s="23"/>
      <c r="E141" s="23"/>
      <c r="F141" s="23">
        <v>10</v>
      </c>
      <c r="G141" s="23"/>
    </row>
    <row r="142" spans="1:8" s="21" customFormat="1" ht="12.75" customHeight="1" x14ac:dyDescent="0.15">
      <c r="A142" s="23" t="s">
        <v>172</v>
      </c>
      <c r="B142" s="23" t="s">
        <v>173</v>
      </c>
      <c r="C142" s="23">
        <f t="shared" si="6"/>
        <v>12.5</v>
      </c>
      <c r="D142" s="23">
        <v>7.5</v>
      </c>
      <c r="E142" s="23">
        <v>2.5</v>
      </c>
      <c r="F142" s="23">
        <v>2.5</v>
      </c>
      <c r="G142" s="23"/>
    </row>
    <row r="143" spans="1:8" s="21" customFormat="1" ht="12.75" customHeight="1" x14ac:dyDescent="0.15">
      <c r="A143" s="23" t="s">
        <v>147</v>
      </c>
      <c r="B143" s="23" t="s">
        <v>114</v>
      </c>
      <c r="C143" s="23">
        <f t="shared" si="6"/>
        <v>20</v>
      </c>
      <c r="D143" s="23">
        <v>5</v>
      </c>
      <c r="E143" s="23">
        <v>7.5</v>
      </c>
      <c r="F143" s="23">
        <v>7.5</v>
      </c>
      <c r="G143" s="23"/>
    </row>
    <row r="144" spans="1:8" s="21" customFormat="1" ht="12.75" customHeight="1" x14ac:dyDescent="0.15">
      <c r="A144" s="23" t="s">
        <v>126</v>
      </c>
      <c r="B144" s="23" t="s">
        <v>53</v>
      </c>
      <c r="C144" s="23">
        <f t="shared" si="6"/>
        <v>5</v>
      </c>
      <c r="D144" s="23">
        <v>5</v>
      </c>
      <c r="E144" s="23"/>
      <c r="F144" s="23"/>
      <c r="G144" s="23"/>
    </row>
    <row r="145" spans="1:7" s="21" customFormat="1" ht="12.75" customHeight="1" x14ac:dyDescent="0.15">
      <c r="A145" s="23" t="s">
        <v>144</v>
      </c>
      <c r="B145" s="23" t="s">
        <v>146</v>
      </c>
      <c r="C145" s="23">
        <f t="shared" si="6"/>
        <v>16</v>
      </c>
      <c r="D145" s="23">
        <v>13.5</v>
      </c>
      <c r="E145" s="23">
        <v>2.5</v>
      </c>
      <c r="F145" s="23"/>
      <c r="G145" s="23"/>
    </row>
    <row r="146" spans="1:7" s="23" customFormat="1" ht="12.75" customHeight="1" x14ac:dyDescent="0.15">
      <c r="A146" s="23" t="s">
        <v>98</v>
      </c>
      <c r="B146" s="23" t="s">
        <v>145</v>
      </c>
      <c r="C146" s="23">
        <f t="shared" si="6"/>
        <v>17.5</v>
      </c>
      <c r="D146" s="23">
        <v>7.5</v>
      </c>
      <c r="E146" s="23">
        <v>5</v>
      </c>
      <c r="F146" s="23">
        <v>5</v>
      </c>
    </row>
    <row r="147" spans="1:7" s="23" customFormat="1" ht="12.75" customHeight="1" x14ac:dyDescent="0.15">
      <c r="A147" s="23" t="s">
        <v>203</v>
      </c>
      <c r="B147" s="23" t="s">
        <v>93</v>
      </c>
      <c r="C147" s="23">
        <f t="shared" si="6"/>
        <v>2.5</v>
      </c>
      <c r="E147" s="23">
        <v>2.5</v>
      </c>
    </row>
    <row r="148" spans="1:7" s="23" customFormat="1" ht="12.75" customHeight="1" x14ac:dyDescent="0.15">
      <c r="A148" s="23" t="s">
        <v>82</v>
      </c>
      <c r="B148" s="23" t="s">
        <v>185</v>
      </c>
      <c r="C148" s="23">
        <f t="shared" si="6"/>
        <v>20</v>
      </c>
      <c r="D148" s="22">
        <v>7.5</v>
      </c>
      <c r="E148" s="22">
        <v>10</v>
      </c>
      <c r="F148" s="22">
        <v>2.5</v>
      </c>
      <c r="G148" s="22"/>
    </row>
    <row r="149" spans="1:7" s="19" customFormat="1" ht="12.75" customHeight="1" x14ac:dyDescent="0.15">
      <c r="A149" s="27" t="s">
        <v>150</v>
      </c>
      <c r="C149" s="19">
        <f t="shared" si="6"/>
        <v>7.5</v>
      </c>
      <c r="E149" s="19">
        <v>7.5</v>
      </c>
    </row>
    <row r="150" spans="1:7" s="19" customFormat="1" ht="14.25" customHeight="1" x14ac:dyDescent="0.15">
      <c r="A150" s="28" t="s">
        <v>135</v>
      </c>
      <c r="B150" s="28"/>
      <c r="C150" s="19">
        <f t="shared" si="6"/>
        <v>25</v>
      </c>
      <c r="D150" s="26"/>
      <c r="E150" s="26">
        <v>25</v>
      </c>
      <c r="F150" s="26"/>
      <c r="G150" s="26"/>
    </row>
    <row r="151" spans="1:7" s="19" customFormat="1" ht="14.25" customHeight="1" x14ac:dyDescent="0.15">
      <c r="A151" s="28" t="s">
        <v>190</v>
      </c>
      <c r="B151" s="28"/>
      <c r="C151" s="19">
        <f t="shared" si="6"/>
        <v>7.5</v>
      </c>
      <c r="D151" s="26"/>
      <c r="E151" s="26">
        <v>7.5</v>
      </c>
      <c r="F151" s="26"/>
      <c r="G151" s="26"/>
    </row>
    <row r="152" spans="1:7" s="19" customFormat="1" ht="14.25" customHeight="1" x14ac:dyDescent="0.15">
      <c r="A152" s="28" t="s">
        <v>138</v>
      </c>
      <c r="B152" s="28"/>
      <c r="C152" s="19">
        <f t="shared" si="6"/>
        <v>7.5</v>
      </c>
      <c r="D152" s="26">
        <v>7.5</v>
      </c>
      <c r="E152" s="26"/>
      <c r="F152" s="26"/>
      <c r="G152" s="26"/>
    </row>
    <row r="153" spans="1:7" s="19" customFormat="1" ht="14.25" customHeight="1" x14ac:dyDescent="0.15">
      <c r="A153" s="28" t="s">
        <v>139</v>
      </c>
      <c r="B153" s="28"/>
      <c r="C153" s="19">
        <f t="shared" si="6"/>
        <v>12.5</v>
      </c>
      <c r="D153" s="26"/>
      <c r="E153" s="26">
        <v>12.5</v>
      </c>
      <c r="F153" s="26"/>
      <c r="G153" s="26"/>
    </row>
    <row r="154" spans="1:7" s="19" customFormat="1" ht="14.25" customHeight="1" x14ac:dyDescent="0.15">
      <c r="A154" s="28" t="s">
        <v>198</v>
      </c>
      <c r="B154" s="28"/>
      <c r="C154" s="19">
        <f t="shared" si="6"/>
        <v>12.5</v>
      </c>
      <c r="D154" s="26">
        <v>12.5</v>
      </c>
      <c r="E154" s="26"/>
      <c r="F154" s="26"/>
      <c r="G154" s="26"/>
    </row>
    <row r="155" spans="1:7" s="19" customFormat="1" ht="14.25" customHeight="1" x14ac:dyDescent="0.15">
      <c r="A155" s="28" t="s">
        <v>199</v>
      </c>
      <c r="B155" s="28"/>
      <c r="C155" s="19">
        <f t="shared" si="6"/>
        <v>5.2</v>
      </c>
      <c r="D155" s="26">
        <v>2.7</v>
      </c>
      <c r="E155" s="26">
        <v>2.5</v>
      </c>
      <c r="F155" s="26"/>
      <c r="G155" s="26"/>
    </row>
    <row r="156" spans="1:7" s="19" customFormat="1" ht="14.25" customHeight="1" x14ac:dyDescent="0.15">
      <c r="A156" s="28" t="s">
        <v>206</v>
      </c>
      <c r="B156" s="28"/>
      <c r="C156" s="19">
        <f t="shared" si="6"/>
        <v>42.5</v>
      </c>
      <c r="D156" s="26"/>
      <c r="E156" s="26">
        <v>42.5</v>
      </c>
      <c r="F156" s="26"/>
      <c r="G156" s="26"/>
    </row>
    <row r="157" spans="1:7" s="19" customFormat="1" ht="14.25" customHeight="1" x14ac:dyDescent="0.15">
      <c r="A157" s="28" t="s">
        <v>207</v>
      </c>
      <c r="B157" s="28"/>
      <c r="C157" s="19">
        <f t="shared" si="6"/>
        <v>10</v>
      </c>
      <c r="D157" s="26"/>
      <c r="E157" s="26">
        <v>10</v>
      </c>
      <c r="F157" s="26"/>
      <c r="G157" s="26"/>
    </row>
    <row r="158" spans="1:7" s="19" customFormat="1" ht="14.25" customHeight="1" x14ac:dyDescent="0.15">
      <c r="A158" s="28" t="s">
        <v>208</v>
      </c>
      <c r="B158" s="28"/>
      <c r="C158" s="19">
        <f t="shared" si="6"/>
        <v>22.5</v>
      </c>
      <c r="D158" s="26"/>
      <c r="E158" s="26">
        <v>22.5</v>
      </c>
      <c r="F158" s="26"/>
      <c r="G158" s="26"/>
    </row>
    <row r="159" spans="1:7" s="23" customFormat="1" ht="12.75" customHeight="1" x14ac:dyDescent="0.15"/>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Compatibility Report</vt:lpstr>
      <vt:lpstr>2022-2023</vt:lpstr>
    </vt:vector>
  </TitlesOfParts>
  <Company>Champaign Public Library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mbissey</dc:creator>
  <cp:lastModifiedBy>Microsoft Office User</cp:lastModifiedBy>
  <cp:lastPrinted>2013-07-31T22:33:01Z</cp:lastPrinted>
  <dcterms:created xsi:type="dcterms:W3CDTF">2003-06-30T18:59:51Z</dcterms:created>
  <dcterms:modified xsi:type="dcterms:W3CDTF">2024-03-08T00:15:43Z</dcterms:modified>
</cp:coreProperties>
</file>